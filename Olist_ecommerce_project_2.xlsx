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tammyle/Downloads/"/>
    </mc:Choice>
  </mc:AlternateContent>
  <xr:revisionPtr revIDLastSave="0" documentId="8_{453978A0-66DE-8249-A147-BCFA5DD48D86}" xr6:coauthVersionLast="47" xr6:coauthVersionMax="47" xr10:uidLastSave="{00000000-0000-0000-0000-000000000000}"/>
  <bookViews>
    <workbookView xWindow="0" yWindow="660" windowWidth="29400" windowHeight="18460" xr2:uid="{80BB7A9D-F6D3-6940-95F1-D692B70B3544}"/>
  </bookViews>
  <sheets>
    <sheet name="Pivot Table Source" sheetId="18" r:id="rId1"/>
    <sheet name="Category, State, Revenue" sheetId="20" r:id="rId2"/>
    <sheet name="Sheet1" sheetId="1" r:id="rId3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  <sheet name="Sheet10" sheetId="10" r:id="rId12"/>
    <sheet name="Sheet11" sheetId="11" r:id="rId13"/>
    <sheet name="Sheet12" sheetId="12" r:id="rId14"/>
    <sheet name="Sheet13" sheetId="13" r:id="rId15"/>
    <sheet name="Sheet14" sheetId="14" r:id="rId16"/>
    <sheet name="Sheet15" sheetId="15" r:id="rId17"/>
    <sheet name="Sheet16" sheetId="16" r:id="rId18"/>
    <sheet name="Sheet17" sheetId="17" r:id="rId19"/>
  </sheets>
  <definedNames>
    <definedName name="ExternalData_1" localSheetId="0" hidden="1">'Pivot Table Source'!$A$1:$C$1357</definedName>
    <definedName name="ExternalData_2" localSheetId="0" hidden="1">'Pivot Table Source'!$F$1:$H$28</definedName>
  </definedNames>
  <calcPr calcId="181029"/>
  <pivotCaches>
    <pivotCache cacheId="3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0" l="1"/>
  <c r="F4" i="20"/>
  <c r="H4" i="20" s="1"/>
  <c r="G4" i="2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AF9E0A-E5F0-554B-96EE-AC3440E56C6F}" keepAlive="1" name="Query - revenue_by_category_by_state" description="Connection to the 'revenue_by_category_by_state' query in the workbook." type="5" refreshedVersion="8" background="1" saveData="1">
    <dbPr connection="Provider=Microsoft.Mashup.OleDb.1;Data Source=$Workbook$;Location=revenue_by_category_by_state;Extended Properties=&quot;&quot;" command="SELECT * FROM [revenue_by_category_by_state]"/>
  </connection>
  <connection id="2" xr16:uid="{10390EA0-84AD-8A4D-8FE8-D30824E3D422}" keepAlive="1" name="Query - revenue_orders_by_state" description="Connection to the 'revenue_orders_by_state' query in the workbook." type="5" refreshedVersion="0" background="1" saveData="1">
    <dbPr connection="Provider=Microsoft.Mashup.OleDb.1;Data Source=$Workbook$;Location=revenue_orders_by_state;Extended Properties=&quot;&quot;" command="SELECT * FROM [revenue_orders_by_state]"/>
  </connection>
  <connection id="3" xr16:uid="{A707F74C-D1E2-5742-9B58-19E2265462D5}" keepAlive="1" name="Query - revenue_orders_by_state (2)" description="Connection to the 'revenue_orders_by_state (2)' query in the workbook." type="5" refreshedVersion="8" background="1" saveData="1">
    <dbPr connection="Provider=Microsoft.Mashup.OleDb.1;Data Source=$Workbook$;Location=&quot;revenue_orders_by_state (2)&quot;;Extended Properties=&quot;&quot;" command="SELECT * FROM [revenue_orders_by_state (2)]"/>
  </connection>
</connections>
</file>

<file path=xl/sharedStrings.xml><?xml version="1.0" encoding="utf-8"?>
<sst xmlns="http://schemas.openxmlformats.org/spreadsheetml/2006/main" count="2830" uniqueCount="116">
  <si>
    <t>customer_state</t>
  </si>
  <si>
    <t>product_category_name_english</t>
  </si>
  <si>
    <t>total_revenue</t>
  </si>
  <si>
    <t>AC</t>
  </si>
  <si>
    <t>auto</t>
  </si>
  <si>
    <t>baby</t>
  </si>
  <si>
    <t>bed_bath_table</t>
  </si>
  <si>
    <t>books_general_interest</t>
  </si>
  <si>
    <t>christmas_supplies</t>
  </si>
  <si>
    <t>computers</t>
  </si>
  <si>
    <t>computers_accessories</t>
  </si>
  <si>
    <t>consoles_games</t>
  </si>
  <si>
    <t>cool_stuff</t>
  </si>
  <si>
    <t>electronics</t>
  </si>
  <si>
    <t>fashion_bags_accessories</t>
  </si>
  <si>
    <t>fashion_shoes</t>
  </si>
  <si>
    <t>furniture_decor</t>
  </si>
  <si>
    <t>furniture_living_room</t>
  </si>
  <si>
    <t>garden_tools</t>
  </si>
  <si>
    <t>health_beauty</t>
  </si>
  <si>
    <t>housewares</t>
  </si>
  <si>
    <t>luggage_accessories</t>
  </si>
  <si>
    <t>market_place</t>
  </si>
  <si>
    <t>musical_instruments</t>
  </si>
  <si>
    <t>perfumery</t>
  </si>
  <si>
    <t>small_appliances</t>
  </si>
  <si>
    <t>sports_leisure</t>
  </si>
  <si>
    <t>stationery</t>
  </si>
  <si>
    <t>telephony</t>
  </si>
  <si>
    <t>toys</t>
  </si>
  <si>
    <t>watches_gifts</t>
  </si>
  <si>
    <t>AL</t>
  </si>
  <si>
    <t>agro_industry_and_commerce</t>
  </si>
  <si>
    <t>air_conditioning</t>
  </si>
  <si>
    <t>audio</t>
  </si>
  <si>
    <t>construction_tools_construction</t>
  </si>
  <si>
    <t>drinks</t>
  </si>
  <si>
    <t>dvds_blu_ray</t>
  </si>
  <si>
    <t>fixed_telephony</t>
  </si>
  <si>
    <t>food</t>
  </si>
  <si>
    <t>food_drink</t>
  </si>
  <si>
    <t>home_appliances</t>
  </si>
  <si>
    <t>home_appliances_2</t>
  </si>
  <si>
    <t>home_confort</t>
  </si>
  <si>
    <t>home_construction</t>
  </si>
  <si>
    <t>industry_commerce_and_business</t>
  </si>
  <si>
    <t>kitchen_dining_laundry_garden_furniture</t>
  </si>
  <si>
    <t>office_furniture</t>
  </si>
  <si>
    <t>pet_shop</t>
  </si>
  <si>
    <t>AM</t>
  </si>
  <si>
    <t>art</t>
  </si>
  <si>
    <t>costruction_tools_garden</t>
  </si>
  <si>
    <t>music</t>
  </si>
  <si>
    <t>tablets_printing_image</t>
  </si>
  <si>
    <t>AP</t>
  </si>
  <si>
    <t>BA</t>
  </si>
  <si>
    <t>books_imported</t>
  </si>
  <si>
    <t>books_technical</t>
  </si>
  <si>
    <t>cine_photo</t>
  </si>
  <si>
    <t>construction_tools_lights</t>
  </si>
  <si>
    <t>construction_tools_safety</t>
  </si>
  <si>
    <t>costruction_tools_tools</t>
  </si>
  <si>
    <t>diapers_and_hygiene</t>
  </si>
  <si>
    <t>fashio_female_clothing</t>
  </si>
  <si>
    <t>fashion_childrens_clothes</t>
  </si>
  <si>
    <t>fashion_male_clothing</t>
  </si>
  <si>
    <t>fashion_sport</t>
  </si>
  <si>
    <t>fashion_underwear_beach</t>
  </si>
  <si>
    <t>furniture_bedroom</t>
  </si>
  <si>
    <t>home_comfort_2</t>
  </si>
  <si>
    <t>signaling_and_security</t>
  </si>
  <si>
    <t>small_appliances_home_oven_and_coffee</t>
  </si>
  <si>
    <t>CE</t>
  </si>
  <si>
    <t>DF</t>
  </si>
  <si>
    <t>arts_and_craftmanship</t>
  </si>
  <si>
    <t>furniture_mattress_and_upholstery</t>
  </si>
  <si>
    <t>party_supplies</t>
  </si>
  <si>
    <t>security_and_services</t>
  </si>
  <si>
    <t>ES</t>
  </si>
  <si>
    <t>flowers</t>
  </si>
  <si>
    <t>GO</t>
  </si>
  <si>
    <t>la_cuisine</t>
  </si>
  <si>
    <t>MA</t>
  </si>
  <si>
    <t>cds_dvds_musicals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</si>
  <si>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</si>
  <si>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</si>
  <si>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</si>
  <si>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</si>
  <si>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</si>
  <si>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</si>
  <si>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</si>
  <si>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</si>
  <si>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</si>
  <si>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</si>
  <si>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</si>
  <si>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</si>
  <si>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</si>
  <si>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</si>
  <si>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</si>
  <si>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</si>
  <si>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</si>
  <si>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order_count</t>
  </si>
  <si>
    <t>Grand Total</t>
  </si>
  <si>
    <t>(All)</t>
  </si>
  <si>
    <t>Orders</t>
  </si>
  <si>
    <t>Total Revenue</t>
  </si>
  <si>
    <t>Revenue per Order</t>
  </si>
  <si>
    <t>State's Share of Total Revenue</t>
  </si>
  <si>
    <t>Customer State</t>
  </si>
  <si>
    <t>Sum of Total Revenue</t>
  </si>
  <si>
    <t>Category</t>
  </si>
  <si>
    <t>*Select one state or (All)</t>
  </si>
  <si>
    <t>Summary</t>
  </si>
  <si>
    <r>
      <t xml:space="preserve">• AC's revenue per order </t>
    </r>
    <r>
      <rPr>
        <b/>
        <sz val="12"/>
        <color theme="1"/>
        <rFont val="Aptos Narrow"/>
        <scheme val="minor"/>
      </rPr>
      <t>(R$197)</t>
    </r>
    <r>
      <rPr>
        <sz val="12"/>
        <color theme="1"/>
        <rFont val="Aptos Narrow"/>
        <family val="2"/>
        <scheme val="minor"/>
      </rPr>
      <t xml:space="preserve"> is well above the national figure </t>
    </r>
    <r>
      <rPr>
        <b/>
        <sz val="12"/>
        <color theme="1"/>
        <rFont val="Aptos Narrow"/>
        <scheme val="minor"/>
      </rPr>
      <t>(R$138)</t>
    </r>
    <r>
      <rPr>
        <sz val="12"/>
        <color theme="1"/>
        <rFont val="Aptos Narrow"/>
        <family val="2"/>
        <scheme val="minor"/>
      </rPr>
      <t>, though with only 81 orders this likely reflects a small sample rather than a reliable pattern.</t>
    </r>
  </si>
  <si>
    <r>
      <t xml:space="preserve">• Health_beauty had the highest total revenue of </t>
    </r>
    <r>
      <rPr>
        <b/>
        <sz val="12"/>
        <color theme="1"/>
        <rFont val="Aptos Narrow"/>
        <scheme val="minor"/>
      </rPr>
      <t>R$1,258,681</t>
    </r>
    <r>
      <rPr>
        <sz val="12"/>
        <color theme="1"/>
        <rFont val="Aptos Narrow"/>
        <family val="2"/>
        <scheme val="minor"/>
      </rPr>
      <t xml:space="preserve">, leading by </t>
    </r>
    <r>
      <rPr>
        <b/>
        <sz val="12"/>
        <color theme="1"/>
        <rFont val="Aptos Narrow"/>
        <scheme val="minor"/>
      </rPr>
      <t>R$53,000</t>
    </r>
    <r>
      <rPr>
        <sz val="12"/>
        <color theme="1"/>
        <rFont val="Aptos Narrow"/>
        <family val="2"/>
        <scheme val="minor"/>
      </rPr>
      <t xml:space="preserve"> than the "watches_gifts" category in second place.</t>
    </r>
  </si>
  <si>
    <r>
      <t xml:space="preserve">• Revenue is highly concentrated in Sao Paulo, which accounts for </t>
    </r>
    <r>
      <rPr>
        <b/>
        <sz val="12"/>
        <color theme="1"/>
        <rFont val="Aptos Narrow"/>
        <scheme val="minor"/>
      </rPr>
      <t>R$5.2M</t>
    </r>
    <r>
      <rPr>
        <sz val="12"/>
        <color theme="1"/>
        <rFont val="Aptos Narrow"/>
        <family val="2"/>
        <scheme val="minor"/>
      </rPr>
      <t xml:space="preserve"> of the national </t>
    </r>
    <r>
      <rPr>
        <b/>
        <sz val="12"/>
        <color theme="1"/>
        <rFont val="Aptos Narrow"/>
        <scheme val="minor"/>
      </rPr>
      <t>R$13.6M</t>
    </r>
    <r>
      <rPr>
        <sz val="12"/>
        <color theme="1"/>
        <rFont val="Aptos Narrow"/>
        <family val="2"/>
        <scheme val="minor"/>
      </rPr>
      <t xml:space="preserve"> total </t>
    </r>
    <r>
      <rPr>
        <b/>
        <sz val="12"/>
        <color theme="1"/>
        <rFont val="Aptos Narrow"/>
        <scheme val="minor"/>
      </rPr>
      <t>(about 38%)</t>
    </r>
    <r>
      <rPr>
        <sz val="12"/>
        <color theme="1"/>
        <rFont val="Aptos Narrow"/>
        <family val="2"/>
        <scheme val="minor"/>
      </rPr>
      <t>, consistent with it being Brazil's most populous state.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</si>
</sst>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&quot;R$&quot;#,##0"/>
    <numFmt numFmtId="167" formatCode="&quot;R$&quot;#,##0.00"/>
    <numFmt numFmtId="169" formatCode="#,##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rgb="FF7F7F7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3" applyNumberFormat="0" applyFont="0" applyAlignment="0" applyProtection="0"/>
  </cellStyleXfs>
  <cellXfs count="17">
    <xf numFmtId="0" fontId="0" fillId="0" borderId="0" xfId="0"/>
    <xf numFmtId="0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 vertical="center"/>
    </xf>
    <xf numFmtId="0" fontId="2" fillId="0" borderId="1" xfId="2"/>
    <xf numFmtId="0" fontId="2" fillId="0" borderId="1" xfId="2" applyAlignment="1">
      <alignment horizontal="center"/>
    </xf>
    <xf numFmtId="0" fontId="3" fillId="2" borderId="4" xfId="3" applyBorder="1" applyAlignment="1">
      <alignment horizontal="center"/>
    </xf>
    <xf numFmtId="167" fontId="3" fillId="2" borderId="4" xfId="3" applyNumberFormat="1" applyBorder="1" applyAlignment="1">
      <alignment horizontal="center"/>
    </xf>
    <xf numFmtId="10" fontId="3" fillId="2" borderId="4" xfId="3" applyNumberFormat="1" applyBorder="1" applyAlignment="1">
      <alignment horizontal="center"/>
    </xf>
    <xf numFmtId="0" fontId="2" fillId="0" borderId="1" xfId="0" pivotButton="1" applyFont="1" applyBorder="1"/>
    <xf numFmtId="0" fontId="2" fillId="0" borderId="1" xfId="0" applyFont="1" applyBorder="1"/>
    <xf numFmtId="0" fontId="0" fillId="0" borderId="4" xfId="0" applyBorder="1" applyAlignment="1">
      <alignment horizontal="left"/>
    </xf>
    <xf numFmtId="165" fontId="0" fillId="0" borderId="4" xfId="0" applyNumberFormat="1" applyBorder="1" applyAlignment="1">
      <alignment horizontal="left"/>
    </xf>
    <xf numFmtId="0" fontId="5" fillId="3" borderId="3" xfId="4" applyFont="1"/>
    <xf numFmtId="169" fontId="0" fillId="0" borderId="0" xfId="0" applyNumberFormat="1"/>
    <xf numFmtId="0" fontId="0" fillId="0" borderId="0" xfId="0" applyAlignment="1"/>
    <xf numFmtId="0" fontId="0" fillId="0" borderId="0" xfId="0" applyAlignment="1">
      <alignment horizontal="left"/>
    </xf>
  </cellXfs>
  <cellStyles count="5">
    <cellStyle name="Currency" xfId="1" builtinId="4"/>
    <cellStyle name="Heading 2" xfId="2" builtinId="17"/>
    <cellStyle name="Normal" xfId="0" builtinId="0"/>
    <cellStyle name="Note" xfId="4" builtinId="10"/>
    <cellStyle name="Output" xfId="3" builtinId="21"/>
  </cellStyles>
  <dxfs count="302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numFmt numFmtId="165" formatCode="&quot;R$&quot;#,##0"/>
      <alignment horizontal="left" vertical="center" textRotation="0" wrapText="0" indent="0" justifyLastLine="0" shrinkToFit="0" readingOrder="0"/>
    </dxf>
    <dxf>
      <numFmt numFmtId="0" formatCode="General"/>
    </dxf>
    <dxf>
      <numFmt numFmtId="165" formatCode="&quot;R$&quot;#,##0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my Le" refreshedDate="46308.768127777781" createdVersion="8" refreshedVersion="8" minRefreshableVersion="3" recordCount="1356" xr:uid="{001C3B85-47DA-5647-9BE1-811185713B71}">
  <cacheSource type="worksheet">
    <worksheetSource name="category_by_state"/>
  </cacheSource>
  <cacheFields count="3">
    <cacheField name="customer_state" numFmtId="0">
      <sharedItems count="27">
        <s v="AC"/>
        <s v="AL"/>
        <s v="AM"/>
        <s v="AP"/>
        <s v="BA"/>
        <s v="CE"/>
        <s v="DF"/>
        <s v="ES"/>
        <s v="GO"/>
        <s v="MA"/>
        <s v="MG"/>
        <s v="MS"/>
        <s v="MT"/>
        <s v="PA"/>
        <s v="PB"/>
        <s v="PE"/>
        <s v="PI"/>
        <s v="PR"/>
        <s v="RJ"/>
        <s v="RN"/>
        <s v="RO"/>
        <s v="RR"/>
        <s v="RS"/>
        <s v="SC"/>
        <s v="SE"/>
        <s v="SP"/>
        <s v="TO"/>
      </sharedItems>
    </cacheField>
    <cacheField name="product_category_name_english" numFmtId="0">
      <sharedItems count="71">
        <s v="auto"/>
        <s v="baby"/>
        <s v="bed_bath_table"/>
        <s v="books_general_interest"/>
        <s v="christmas_supplies"/>
        <s v="computers"/>
        <s v="computers_accessories"/>
        <s v="consoles_games"/>
        <s v="cool_stuff"/>
        <s v="electronics"/>
        <s v="fashion_bags_accessories"/>
        <s v="fashion_shoes"/>
        <s v="furniture_decor"/>
        <s v="furniture_living_room"/>
        <s v="garden_tools"/>
        <s v="health_beauty"/>
        <s v="housewares"/>
        <s v="luggage_accessories"/>
        <s v="market_place"/>
        <s v="musical_instruments"/>
        <s v="perfumery"/>
        <s v="small_appliances"/>
        <s v="sports_leisure"/>
        <s v="stationery"/>
        <s v="telephony"/>
        <s v="toys"/>
        <s v="watches_gifts"/>
        <s v="agro_industry_and_commerce"/>
        <s v="air_conditioning"/>
        <s v="audio"/>
        <s v="construction_tools_construction"/>
        <s v="drinks"/>
        <s v="dvds_blu_ray"/>
        <s v="fixed_telephony"/>
        <s v="food"/>
        <s v="food_drink"/>
        <s v="home_appliances"/>
        <s v="home_appliances_2"/>
        <s v="home_confort"/>
        <s v="home_construction"/>
        <s v="industry_commerce_and_business"/>
        <s v="kitchen_dining_laundry_garden_furniture"/>
        <s v="office_furniture"/>
        <s v="pet_shop"/>
        <s v="art"/>
        <s v="costruction_tools_garden"/>
        <s v="music"/>
        <s v="tablets_printing_image"/>
        <s v="books_imported"/>
        <s v="books_technical"/>
        <s v="cine_photo"/>
        <s v="construction_tools_lights"/>
        <s v="construction_tools_safety"/>
        <s v="costruction_tools_tools"/>
        <s v="diapers_and_hygiene"/>
        <s v="fashio_female_clothing"/>
        <s v="fashion_childrens_clothes"/>
        <s v="fashion_male_clothing"/>
        <s v="fashion_sport"/>
        <s v="fashion_underwear_beach"/>
        <s v="furniture_bedroom"/>
        <s v="home_comfort_2"/>
        <s v="signaling_and_security"/>
        <s v="small_appliances_home_oven_and_coffee"/>
        <s v="arts_and_craftmanship"/>
        <s v="furniture_mattress_and_upholstery"/>
        <s v="party_supplies"/>
        <s v="security_and_services"/>
        <s v="flowers"/>
        <s v="la_cuisine"/>
        <s v="cds_dvds_musicals"/>
      </sharedItems>
    </cacheField>
    <cacheField name="total_revenue" numFmtId="165">
      <sharedItems containsSemiMixedTypes="0" containsString="0" containsNumber="1" minValue="6.8" maxValue="478284.52" count="1291">
        <n v="540.98"/>
        <n v="697.84"/>
        <n v="567.70000000000005"/>
        <n v="633.79999999999995"/>
        <n v="69.900000000000006"/>
        <n v="1200"/>
        <n v="1290.48"/>
        <n v="276.14"/>
        <n v="99.99"/>
        <n v="487.55"/>
        <n v="89.9"/>
        <n v="295.60000000000002"/>
        <n v="1316.44"/>
        <n v="79.900000000000006"/>
        <n v="629"/>
        <n v="1386.58"/>
        <n v="513.05999999999995"/>
        <n v="348.9"/>
        <n v="62.8"/>
        <n v="36.9"/>
        <n v="303.88"/>
        <n v="54"/>
        <n v="1677.46"/>
        <n v="528.9"/>
        <n v="1103.96"/>
        <n v="234.79"/>
        <n v="1389.6"/>
        <n v="1476.3"/>
        <n v="540"/>
        <n v="550.09"/>
        <n v="4578.54"/>
        <n v="728.77"/>
        <n v="2023.04"/>
        <n v="61"/>
        <n v="2049.9899999999998"/>
        <n v="7714.36"/>
        <n v="2683.08"/>
        <n v="1195"/>
        <n v="2500.94"/>
        <n v="15.49"/>
        <n v="24.9"/>
        <n v="344.56"/>
        <n v="228.7"/>
        <n v="346.42"/>
        <n v="731.87"/>
        <n v="189.9"/>
        <n v="44.06"/>
        <n v="3713.29"/>
        <n v="729.79"/>
        <n v="1648.08"/>
        <n v="12780.26"/>
        <n v="206.55"/>
        <n v="2345"/>
        <n v="630.75"/>
        <n v="1020.36"/>
        <n v="199"/>
        <n v="144"/>
        <n v="999.36"/>
        <n v="219.9"/>
        <n v="367"/>
        <n v="1009.84"/>
        <n v="1766.66"/>
        <n v="2195.9"/>
        <n v="3747.68"/>
        <n v="655.01"/>
        <n v="4508.1499999999996"/>
        <n v="1053.07"/>
        <n v="11683.27"/>
        <n v="89"/>
        <n v="58.35"/>
        <n v="723.9"/>
        <n v="657.69"/>
        <n v="681.2"/>
        <n v="87"/>
        <n v="1340"/>
        <n v="1960.74"/>
        <n v="423.3"/>
        <n v="638.88"/>
        <n v="132.80000000000001"/>
        <n v="47.49"/>
        <n v="58.95"/>
        <n v="699.99"/>
        <n v="19.989999999999998"/>
        <n v="149.9"/>
        <n v="215.28"/>
        <n v="1980.88"/>
        <n v="2776.03"/>
        <n v="190.8"/>
        <n v="753.4"/>
        <n v="408.69"/>
        <n v="390.8"/>
        <n v="180"/>
        <n v="16.100000000000001"/>
        <n v="439"/>
        <n v="184.8"/>
        <n v="94.89"/>
        <n v="374.79"/>
        <n v="1362.6"/>
        <n v="698.99"/>
        <n v="50"/>
        <n v="766"/>
        <n v="721.56"/>
        <n v="1811.35"/>
        <n v="589.99"/>
        <n v="145.88999999999999"/>
        <n v="1216.3900000000001"/>
        <n v="669.5"/>
        <n v="1437"/>
        <n v="2149.52"/>
        <n v="85.95"/>
        <n v="314"/>
        <n v="607.54999999999995"/>
        <n v="232.94"/>
        <n v="270.8"/>
        <n v="239.99"/>
        <n v="1380.58"/>
        <n v="490.49"/>
        <n v="293.89999999999998"/>
        <n v="59.8"/>
        <n v="812.69"/>
        <n v="234.9"/>
        <n v="304.77999999999997"/>
        <n v="297.83999999999997"/>
        <n v="1639.8"/>
        <n v="2257"/>
        <n v="832.86"/>
        <n v="898.95"/>
        <n v="1430.69"/>
        <n v="29762.5"/>
        <n v="15377.33"/>
        <n v="25794.99"/>
        <n v="1017.7"/>
        <n v="77"/>
        <n v="720.52"/>
        <n v="703.21"/>
        <n v="314.85000000000002"/>
        <n v="21043.99"/>
        <n v="33589.910000000003"/>
        <n v="4247.1400000000003"/>
        <n v="4594.7"/>
        <n v="744.06"/>
        <n v="2384.9299999999998"/>
        <n v="23780.04"/>
        <n v="1569.39"/>
        <n v="589.70000000000005"/>
        <n v="38"/>
        <n v="491.23"/>
        <n v="6252.13"/>
        <n v="64.900000000000006"/>
        <n v="6795.79"/>
        <n v="89.99"/>
        <n v="960.8"/>
        <n v="851.5"/>
        <n v="124.89"/>
        <n v="638.70000000000005"/>
        <n v="4131.82"/>
        <n v="991.41"/>
        <n v="550.41999999999996"/>
        <n v="667"/>
        <n v="23425.96"/>
        <n v="2494.4299999999998"/>
        <n v="24228.51"/>
        <n v="51367.91"/>
        <n v="2737.29"/>
        <n v="2053.7800000000002"/>
        <n v="12.9"/>
        <n v="1170.4000000000001"/>
        <n v="2654.23"/>
        <n v="17035.77"/>
        <n v="465"/>
        <n v="201.9"/>
        <n v="3435.83"/>
        <n v="2135.69"/>
        <n v="10033.299999999999"/>
        <n v="14225.83"/>
        <n v="9723.01"/>
        <n v="5823.67"/>
        <n v="725.84"/>
        <n v="3871.96"/>
        <n v="1574.9"/>
        <n v="38644.61"/>
        <n v="7355.95"/>
        <n v="505.8"/>
        <n v="21144.41"/>
        <n v="14707.03"/>
        <n v="48885.59"/>
        <n v="452.9"/>
        <n v="446.16"/>
        <n v="902.89"/>
        <n v="11985.5"/>
        <n v="4548.24"/>
        <n v="7020.79"/>
        <n v="1353.05"/>
        <n v="270.95"/>
        <n v="159.80000000000001"/>
        <n v="7096.79"/>
        <n v="12504.75"/>
        <n v="3664.05"/>
        <n v="1793.06"/>
        <n v="882.63"/>
        <n v="12235.4"/>
        <n v="1988"/>
        <n v="93"/>
        <n v="60"/>
        <n v="150.47"/>
        <n v="3768.9"/>
        <n v="2667.73"/>
        <n v="29.99"/>
        <n v="249.7"/>
        <n v="369.79"/>
        <n v="348.69"/>
        <n v="291.86"/>
        <n v="9216.0400000000009"/>
        <n v="602.98"/>
        <n v="6135.84"/>
        <n v="32419.18"/>
        <n v="1680.9"/>
        <n v="2653.9"/>
        <n v="346.6"/>
        <n v="1581.65"/>
        <n v="7643.31"/>
        <n v="248"/>
        <n v="140"/>
        <n v="3416.5"/>
        <n v="558.35"/>
        <n v="3261.67"/>
        <n v="4716.76"/>
        <n v="8747.73"/>
        <n v="1141.04"/>
        <n v="5043.29"/>
        <n v="10551.62"/>
        <n v="3173.43"/>
        <n v="7539.33"/>
        <n v="7869.8"/>
        <n v="29285.24"/>
        <n v="468"/>
        <n v="565.79"/>
        <n v="129.49"/>
        <n v="2048.23"/>
        <n v="17389.04"/>
        <n v="8621.3700000000008"/>
        <n v="16390.509999999998"/>
        <n v="1245.8900000000001"/>
        <n v="672.8"/>
        <n v="311.2"/>
        <n v="99.95"/>
        <n v="10786.99"/>
        <n v="25029.33"/>
        <n v="2113.37"/>
        <n v="1085.94"/>
        <n v="788"/>
        <n v="520.17999999999995"/>
        <n v="12413.29"/>
        <n v="410.7"/>
        <n v="292.37"/>
        <n v="120.79"/>
        <n v="2458.04"/>
        <n v="129.9"/>
        <n v="3730.08"/>
        <n v="944.59"/>
        <n v="24.99"/>
        <n v="146.15"/>
        <n v="72.98"/>
        <n v="511.08"/>
        <n v="310.79000000000002"/>
        <n v="510"/>
        <n v="12080.71"/>
        <n v="1405.66"/>
        <n v="249"/>
        <n v="9247.14"/>
        <n v="29862.82"/>
        <n v="1802.43"/>
        <n v="2733.9"/>
        <n v="521.5"/>
        <n v="793.64"/>
        <n v="12988.35"/>
        <n v="1272"/>
        <n v="1323.8"/>
        <n v="2776.85"/>
        <n v="326.70999999999998"/>
        <n v="50.35"/>
        <n v="2532.6"/>
        <n v="2997.74"/>
        <n v="231.2"/>
        <n v="9948.0400000000009"/>
        <n v="5037.71"/>
        <n v="100"/>
        <n v="626.03"/>
        <n v="11437.13"/>
        <n v="750"/>
        <n v="22846.17"/>
        <n v="4853.09"/>
        <n v="6243.51"/>
        <n v="11791.85"/>
        <n v="32730.37"/>
        <n v="442.3"/>
        <n v="898.8"/>
        <n v="49.9"/>
        <n v="1197.78"/>
        <n v="12145.66"/>
        <n v="8370.65"/>
        <n v="22678.65"/>
        <n v="1594.85"/>
        <n v="1138.5999999999999"/>
        <n v="126.22"/>
        <n v="94.9"/>
        <n v="8058"/>
        <n v="14840.67"/>
        <n v="3525.02"/>
        <n v="2696.38"/>
        <n v="1012.3"/>
        <n v="10909.83"/>
        <n v="489.8"/>
        <n v="513.99"/>
        <n v="546.41999999999996"/>
        <n v="3716.14"/>
        <n v="115"/>
        <n v="3569.94"/>
        <n v="445.8"/>
        <n v="780.3"/>
        <n v="110"/>
        <n v="8213.7800000000007"/>
        <n v="77.89"/>
        <n v="963.69"/>
        <n v="311"/>
        <n v="99.9"/>
        <n v="12912.72"/>
        <n v="1441.32"/>
        <n v="10732.53"/>
        <n v="20214.490000000002"/>
        <n v="1120.96"/>
        <n v="1149.99"/>
        <n v="1538.18"/>
        <n v="2148.6999999999998"/>
        <n v="12091.62"/>
        <n v="136"/>
        <n v="48"/>
        <n v="2553.48"/>
        <n v="828.78"/>
        <n v="5247.38"/>
        <n v="5172.8"/>
        <n v="62.5"/>
        <n v="6577.55"/>
        <n v="2171.08"/>
        <n v="859.9"/>
        <n v="668.75"/>
        <n v="20113.189999999999"/>
        <n v="5503.36"/>
        <n v="1026.79"/>
        <n v="9323.35"/>
        <n v="10571.56"/>
        <n v="29461"/>
        <n v="2298.39"/>
        <n v="940.89"/>
        <n v="409.57"/>
        <n v="1974.88"/>
        <n v="11360.75"/>
        <n v="9631.8700000000008"/>
        <n v="22645.31"/>
        <n v="2062.59"/>
        <n v="196.65"/>
        <n v="361.7"/>
        <n v="119"/>
        <n v="3559.97"/>
        <n v="13856.23"/>
        <n v="2386.84"/>
        <n v="1233.1600000000001"/>
        <n v="985"/>
        <n v="622.4"/>
        <n v="22528.09"/>
        <n v="330.7"/>
        <n v="2529.5"/>
        <n v="385.57"/>
        <n v="19.899999999999999"/>
        <n v="854.75"/>
        <n v="204.8"/>
        <n v="3160.69"/>
        <n v="308.60000000000002"/>
        <n v="1022.3"/>
        <n v="457.7"/>
        <n v="409.78"/>
        <n v="398.46"/>
        <n v="159"/>
        <n v="12554.88"/>
        <n v="1381.57"/>
        <n v="85"/>
        <n v="15153.47"/>
        <n v="28312.3"/>
        <n v="714.28"/>
        <n v="1537.9"/>
        <n v="64.5"/>
        <n v="1110.5"/>
        <n v="2668.35"/>
        <n v="14836.1"/>
        <n v="1428.14"/>
        <n v="305.76"/>
        <n v="137"/>
        <n v="1632.77"/>
        <n v="387.05"/>
        <n v="1165.97"/>
        <n v="1472.84"/>
        <n v="3161.93"/>
        <n v="43.8"/>
        <n v="10291.58"/>
        <n v="4692.63"/>
        <n v="1071.3399999999999"/>
        <n v="2679.88"/>
        <n v="19547.25"/>
        <n v="4579.82"/>
        <n v="99"/>
        <n v="6169.94"/>
        <n v="7913.87"/>
        <n v="33257.72"/>
        <n v="559.99"/>
        <n v="733.88"/>
        <n v="5291.16"/>
        <n v="5275.28"/>
        <n v="3964.63"/>
        <n v="299"/>
        <n v="749"/>
        <n v="105.79"/>
        <n v="65"/>
        <n v="116.9"/>
        <n v="49.8"/>
        <n v="6786.98"/>
        <n v="12581.43"/>
        <n v="1331.53"/>
        <n v="49.99"/>
        <n v="250"/>
        <n v="7560.38"/>
        <n v="382.89"/>
        <n v="2004.74"/>
        <n v="59.9"/>
        <n v="27.9"/>
        <n v="205.9"/>
        <n v="90"/>
        <n v="103.99"/>
        <n v="4570.3599999999997"/>
        <n v="1519.9"/>
        <n v="2175.4699999999998"/>
        <n v="12747.18"/>
        <n v="1297.8"/>
        <n v="685.9"/>
        <n v="713.76"/>
        <n v="2384.7600000000002"/>
        <n v="125"/>
        <n v="1202.43"/>
        <n v="672.28"/>
        <n v="3477.05"/>
        <n v="3715.64"/>
        <n v="4436.58"/>
        <n v="846.44"/>
        <n v="262.89999999999998"/>
        <n v="8568.8700000000008"/>
        <n v="1455.89"/>
        <n v="152.99"/>
        <n v="5002.0200000000004"/>
        <n v="3284.03"/>
        <n v="9904.99"/>
        <n v="12126.49"/>
        <n v="4379.1099999999997"/>
        <n v="1366.54"/>
        <n v="488.78"/>
        <n v="5627.09"/>
        <n v="72851.08"/>
        <n v="47889.38"/>
        <n v="129643.98"/>
        <n v="4470.5200000000004"/>
        <n v="364.87"/>
        <n v="1901.03"/>
        <n v="1271.33"/>
        <n v="494.89"/>
        <n v="20973"/>
        <n v="111069.74"/>
        <n v="19952.669999999998"/>
        <n v="18040.689999999999"/>
        <n v="6267.15"/>
        <n v="7546.76"/>
        <n v="72778.48"/>
        <n v="2432.0300000000002"/>
        <n v="1720.05"/>
        <n v="43"/>
        <n v="1940.6"/>
        <n v="268.77999999999997"/>
        <n v="20831.490000000002"/>
        <n v="475.68"/>
        <n v="23580.11"/>
        <n v="1536.73"/>
        <n v="3304.28"/>
        <n v="264.89999999999998"/>
        <n v="1070.8"/>
        <n v="1244.5999999999999"/>
        <n v="96.29"/>
        <n v="2115.59"/>
        <n v="1913.9"/>
        <n v="2237.8000000000002"/>
        <n v="78999.740000000005"/>
        <n v="7817.38"/>
        <n v="561.49"/>
        <n v="60649.22"/>
        <n v="157558.29999999999"/>
        <n v="5814.42"/>
        <n v="6535.78"/>
        <n v="38.700000000000003"/>
        <n v="8097.59"/>
        <n v="8383.4"/>
        <n v="78073.72"/>
        <n v="1675.96"/>
        <n v="3886.46"/>
        <n v="266"/>
        <n v="22686.65"/>
        <n v="2825.05"/>
        <n v="683.33"/>
        <n v="27009.59"/>
        <n v="28150.240000000002"/>
        <n v="1103"/>
        <n v="48823.98"/>
        <n v="31987.34"/>
        <n v="754.45"/>
        <n v="17762.09"/>
        <n v="4668.38"/>
        <n v="112719.19"/>
        <n v="25107.39"/>
        <n v="851.7"/>
        <n v="35091.61"/>
        <n v="58888.2"/>
        <n v="123759.23"/>
        <n v="526.89"/>
        <n v="129.99"/>
        <n v="190.9"/>
        <n v="7142.65"/>
        <n v="4610.22"/>
        <n v="5746.71"/>
        <n v="231"/>
        <n v="170.85"/>
        <n v="35.6"/>
        <n v="599"/>
        <n v="9878.7900000000009"/>
        <n v="468.07"/>
        <n v="1715.01"/>
        <n v="904.98"/>
        <n v="2185.89"/>
        <n v="6163.88"/>
        <n v="180.99"/>
        <n v="6.8"/>
        <n v="199.96"/>
        <n v="448.8"/>
        <n v="1513.02"/>
        <n v="1030.58"/>
        <n v="546"/>
        <n v="441.9"/>
        <n v="32.99"/>
        <n v="31.2"/>
        <n v="384.26"/>
        <n v="18.600000000000001"/>
        <n v="179"/>
        <n v="5819.66"/>
        <n v="418.8"/>
        <n v="5095.07"/>
        <n v="11289.57"/>
        <n v="252.45"/>
        <n v="769.69"/>
        <n v="86.9"/>
        <n v="1408"/>
        <n v="10861.74"/>
        <n v="1365.63"/>
        <n v="118.89"/>
        <n v="3582.5"/>
        <n v="739.77"/>
        <n v="1800.1"/>
        <n v="2569.92"/>
        <n v="358"/>
        <n v="280.31"/>
        <n v="9177.09"/>
        <n v="1728"/>
        <n v="198"/>
        <n v="1475.69"/>
        <n v="3974.57"/>
        <n v="6251.9"/>
        <n v="530"/>
        <n v="585.79999999999995"/>
        <n v="69.989999999999995"/>
        <n v="671.8"/>
        <n v="10507.41"/>
        <n v="6936.53"/>
        <n v="7125.58"/>
        <n v="44.5"/>
        <n v="301.29000000000002"/>
        <n v="675.99"/>
        <n v="2889.99"/>
        <n v="8873.15"/>
        <n v="1330.49"/>
        <n v="3215.88"/>
        <n v="649.99"/>
        <n v="1063.5899999999999"/>
        <n v="7408.52"/>
        <n v="190"/>
        <n v="19.489999999999998"/>
        <n v="985.66"/>
        <n v="34.99"/>
        <n v="665.37"/>
        <n v="147.5"/>
        <n v="478.5"/>
        <n v="734.4"/>
        <n v="469.8"/>
        <n v="6568.94"/>
        <n v="519.88"/>
        <n v="8850.1299999999992"/>
        <n v="15301.79"/>
        <n v="1022.29"/>
        <n v="815.79"/>
        <n v="687.8"/>
        <n v="1085.28"/>
        <n v="3640.5"/>
        <n v="281"/>
        <n v="660"/>
        <n v="1139.5899999999999"/>
        <n v="662.24"/>
        <n v="3818.7"/>
        <n v="3720.77"/>
        <n v="2837.13"/>
        <n v="2936.2"/>
        <n v="2919.4"/>
        <n v="3502.9"/>
        <n v="9433.02"/>
        <n v="3113.16"/>
        <n v="50.8"/>
        <n v="3463.74"/>
        <n v="5857.16"/>
        <n v="15006.91"/>
        <n v="1109.98"/>
        <n v="169.89"/>
        <n v="568"/>
        <n v="7870.47"/>
        <n v="9882.75"/>
        <n v="3506.54"/>
        <n v="171.69"/>
        <n v="129.97999999999999"/>
        <n v="148.88999999999999"/>
        <n v="701.4"/>
        <n v="3319"/>
        <n v="11694.09"/>
        <n v="2013.73"/>
        <n v="487.89"/>
        <n v="29"/>
        <n v="7467"/>
        <n v="139.9"/>
        <n v="27"/>
        <n v="105"/>
        <n v="2875.88"/>
        <n v="2102.54"/>
        <n v="256.89"/>
        <n v="542.4"/>
        <n v="159.6"/>
        <n v="181.7"/>
        <n v="577.99"/>
        <n v="64.599999999999994"/>
        <n v="9121.44"/>
        <n v="179.99"/>
        <n v="5718.42"/>
        <n v="23755.83"/>
        <n v="650.54999999999995"/>
        <n v="249.8"/>
        <n v="4660.21"/>
        <n v="48.9"/>
        <n v="1515.63"/>
        <n v="485.16"/>
        <n v="1733.37"/>
        <n v="4115.24"/>
        <n v="4480.28"/>
        <n v="1979.88"/>
        <n v="149.69999999999999"/>
        <n v="3366.25"/>
        <n v="12733.25"/>
        <n v="2496.81"/>
        <n v="361.79"/>
        <n v="8037.41"/>
        <n v="3836.62"/>
        <n v="22559.82"/>
        <n v="528.99"/>
        <n v="35.9"/>
        <n v="110.99"/>
        <n v="79"/>
        <n v="4141.2700000000004"/>
        <n v="2002.57"/>
        <n v="3494.59"/>
        <n v="184.69"/>
        <n v="7128"/>
        <n v="7218.07"/>
        <n v="873.38"/>
        <n v="226.9"/>
        <n v="589.9"/>
        <n v="5458.16"/>
        <n v="599.9"/>
        <n v="309"/>
        <n v="47"/>
        <n v="2573.4299999999998"/>
        <n v="109.8"/>
        <n v="1151.07"/>
        <n v="143.63999999999999"/>
        <n v="1845.79"/>
        <n v="208.9"/>
        <n v="4441.71"/>
        <n v="472.88"/>
        <n v="5590.01"/>
        <n v="16286.98"/>
        <n v="2310"/>
        <n v="959.25"/>
        <n v="2443.6999999999998"/>
        <n v="3321.97"/>
        <n v="409"/>
        <n v="1066.49"/>
        <n v="422.8"/>
        <n v="1007.8"/>
        <n v="1191.33"/>
        <n v="2402.0700000000002"/>
        <n v="786.48"/>
        <n v="1050"/>
        <n v="2068.36"/>
        <n v="4998.5200000000004"/>
        <n v="2130.1799999999998"/>
        <n v="3172.42"/>
        <n v="3408.07"/>
        <n v="13388.88"/>
        <n v="5611.92"/>
        <n v="276.89999999999998"/>
        <n v="441.79"/>
        <n v="12339.95"/>
        <n v="4939.41"/>
        <n v="9443.32"/>
        <n v="643.08000000000004"/>
        <n v="313.39"/>
        <n v="372.45"/>
        <n v="9596.9699999999993"/>
        <n v="12982.91"/>
        <n v="5651.24"/>
        <n v="2593.77"/>
        <n v="384.98"/>
        <n v="1016.18"/>
        <n v="14245.52"/>
        <n v="995.54"/>
        <n v="34.799999999999997"/>
        <n v="1971.04"/>
        <n v="2336.9299999999998"/>
        <n v="1221.42"/>
        <n v="89.88"/>
        <n v="603.54999999999995"/>
        <n v="672.01"/>
        <n v="129"/>
        <n v="9593.2800000000007"/>
        <n v="578.79"/>
        <n v="7213.53"/>
        <n v="41604.78"/>
        <n v="237.65"/>
        <n v="959.99"/>
        <n v="970.4"/>
        <n v="1341.65"/>
        <n v="5380.52"/>
        <n v="1528.9"/>
        <n v="1051.8800000000001"/>
        <n v="1635.26"/>
        <n v="274.95999999999998"/>
        <n v="6410.5"/>
        <n v="3519.57"/>
        <n v="6585.83"/>
        <n v="2864.78"/>
        <n v="77.8"/>
        <n v="781.89"/>
        <n v="640.99"/>
        <n v="20364.509999999998"/>
        <n v="4526.59"/>
        <n v="10608.94"/>
        <n v="8949.2000000000007"/>
        <n v="31049.78"/>
        <n v="318.98"/>
        <n v="468.9"/>
        <n v="221.98"/>
        <n v="239.7"/>
        <n v="10134.68"/>
        <n v="4293.09"/>
        <n v="3777.75"/>
        <n v="133.9"/>
        <n v="120"/>
        <n v="2349.9899999999998"/>
        <n v="5276.15"/>
        <n v="1670.49"/>
        <n v="210"/>
        <n v="297"/>
        <n v="3490.87"/>
        <n v="300.3"/>
        <n v="25"/>
        <n v="1446.84"/>
        <n v="277.8"/>
        <n v="199.7"/>
        <n v="152"/>
        <n v="310"/>
        <n v="215.56"/>
        <n v="1515.42"/>
        <n v="219.8"/>
        <n v="3732.85"/>
        <n v="10290.19"/>
        <n v="308.5"/>
        <n v="599.5"/>
        <n v="498.89"/>
        <n v="820.6"/>
        <n v="2506.09"/>
        <n v="874.3"/>
        <n v="630.59"/>
        <n v="192.89"/>
        <n v="1381.6"/>
        <n v="1382.6"/>
        <n v="1985.57"/>
        <n v="1396.78"/>
        <n v="5675.69"/>
        <n v="1208.5999999999999"/>
        <n v="2875.69"/>
        <n v="3808.8"/>
        <n v="7736.18"/>
        <n v="4903.53"/>
        <n v="3353.81"/>
        <n v="710.82"/>
        <n v="2841.27"/>
        <n v="28134.02"/>
        <n v="21764.45"/>
        <n v="45598.47"/>
        <n v="3003.25"/>
        <n v="121.99"/>
        <n v="1764.45"/>
        <n v="190.16"/>
        <n v="293.60000000000002"/>
        <n v="6676.98"/>
        <n v="44127.09"/>
        <n v="6483.52"/>
        <n v="9200.82"/>
        <n v="2061.88"/>
        <n v="2184.5100000000002"/>
        <n v="37539.120000000003"/>
        <n v="648.59"/>
        <n v="266.98"/>
        <n v="97"/>
        <n v="1449.32"/>
        <n v="104.5"/>
        <n v="10991.61"/>
        <n v="7906.38"/>
        <n v="1061.28"/>
        <n v="1067.02"/>
        <n v="265.58"/>
        <n v="279.68"/>
        <n v="1694.2"/>
        <n v="653.48"/>
        <n v="293.27999999999997"/>
        <n v="49484.89"/>
        <n v="2052.5100000000002"/>
        <n v="20681.03"/>
        <n v="54949.36"/>
        <n v="5824.3"/>
        <n v="7359.82"/>
        <n v="1637.1"/>
        <n v="2748.11"/>
        <n v="31221.599999999999"/>
        <n v="1207.8699999999999"/>
        <n v="3439.09"/>
        <n v="6418.05"/>
        <n v="928.94"/>
        <n v="558.6"/>
        <n v="10233.49"/>
        <n v="15717.12"/>
        <n v="317.60000000000002"/>
        <n v="15833.32"/>
        <n v="8456.64"/>
        <n v="271.79000000000002"/>
        <n v="11217.34"/>
        <n v="8590"/>
        <n v="58630.2"/>
        <n v="11231.99"/>
        <n v="13273.28"/>
        <n v="24200.11"/>
        <n v="59967.040000000001"/>
        <n v="8598.86"/>
        <n v="16446.2"/>
        <n v="2982.9"/>
        <n v="9360.35"/>
        <n v="65838.100000000006"/>
        <n v="42318.52"/>
        <n v="148035.23000000001"/>
        <n v="4249.16"/>
        <n v="490.78"/>
        <n v="1621.68"/>
        <n v="615.32000000000005"/>
        <n v="528.6"/>
        <n v="23260.45"/>
        <n v="120289.45"/>
        <n v="17361.34"/>
        <n v="21078.25"/>
        <n v="3257.91"/>
        <n v="2736.43"/>
        <n v="83909.95"/>
        <n v="6503.25"/>
        <n v="1072.68"/>
        <n v="194.9"/>
        <n v="5604.82"/>
        <n v="419.06"/>
        <n v="26364.61"/>
        <n v="16288.3"/>
        <n v="967.37"/>
        <n v="2381.11"/>
        <n v="129.80000000000001"/>
        <n v="1359.47"/>
        <n v="19566.18"/>
        <n v="255.6"/>
        <n v="2808.31"/>
        <n v="2811.4"/>
        <n v="3577.96"/>
        <n v="98427.86"/>
        <n v="16697.34"/>
        <n v="1019.99"/>
        <n v="73505.37"/>
        <n v="145298.62"/>
        <n v="9064.48"/>
        <n v="28822.51"/>
        <n v="51.6"/>
        <n v="7954.87"/>
        <n v="7067.68"/>
        <n v="77675.570000000007"/>
        <n v="3126.6"/>
        <n v="7487.34"/>
        <n v="15062.48"/>
        <n v="2967.74"/>
        <n v="1017.85"/>
        <n v="20527.39"/>
        <n v="46912.19"/>
        <n v="291.5"/>
        <n v="54167.88"/>
        <n v="25752.52"/>
        <n v="2445.54"/>
        <n v="29607.4"/>
        <n v="3911.09"/>
        <n v="125148.04"/>
        <n v="33333.33"/>
        <n v="907.79"/>
        <n v="38434.07"/>
        <n v="74187.789999999994"/>
        <n v="185379.65"/>
        <n v="79.989999999999995"/>
        <n v="189"/>
        <n v="4222.6099999999997"/>
        <n v="2334.39"/>
        <n v="3311.44"/>
        <n v="1432.6"/>
        <n v="19.829999999999998"/>
        <n v="2801.27"/>
        <n v="1654.96"/>
        <n v="1655.57"/>
        <n v="138.9"/>
        <n v="3800.28"/>
        <n v="163.69999999999999"/>
        <n v="16.899999999999999"/>
        <n v="368.42"/>
        <n v="1455.79"/>
        <n v="399.4"/>
        <n v="356.05"/>
        <n v="252"/>
        <n v="3241.48"/>
        <n v="2871.31"/>
        <n v="13886.47"/>
        <n v="434.25"/>
        <n v="1439.9"/>
        <n v="452.6"/>
        <n v="1882.55"/>
        <n v="150"/>
        <n v="339.9"/>
        <n v="299.89999999999998"/>
        <n v="409.8"/>
        <n v="1244.72"/>
        <n v="2970.59"/>
        <n v="2301.6799999999998"/>
        <n v="75"/>
        <n v="4101.37"/>
        <n v="3403.01"/>
        <n v="5303.29"/>
        <n v="1964.52"/>
        <n v="10160.42"/>
        <n v="88"/>
        <n v="148.63999999999999"/>
        <n v="1389.16"/>
        <n v="2214.39"/>
        <n v="1732.27"/>
        <n v="44.99"/>
        <n v="2499.9"/>
        <n v="2081.5700000000002"/>
        <n v="1374.5"/>
        <n v="2440.14"/>
        <n v="100.37"/>
        <n v="245.25"/>
        <n v="632.49"/>
        <n v="169.79"/>
        <n v="98.99"/>
        <n v="1545.18"/>
        <n v="555.4"/>
        <n v="7085.76"/>
        <n v="261.58"/>
        <n v="229"/>
        <n v="525.97"/>
        <n v="1181.5999999999999"/>
        <n v="149.99"/>
        <n v="39.9"/>
        <n v="1087.8599999999999"/>
        <n v="1291.3"/>
        <n v="975.53"/>
        <n v="183.29"/>
        <n v="1999"/>
        <n v="3321.88"/>
        <n v="723.6"/>
        <n v="668.07"/>
        <n v="3079.05"/>
        <n v="4553.2700000000004"/>
        <n v="988.87"/>
        <n v="609.70000000000005"/>
        <n v="468.01"/>
        <n v="27.3"/>
        <n v="590.99"/>
        <n v="1050.6099999999999"/>
        <n v="954.18"/>
        <n v="289.89999999999998"/>
        <n v="244"/>
        <n v="1350.6"/>
        <n v="100.43"/>
        <n v="219"/>
        <n v="3155.93"/>
        <n v="1702.19"/>
        <n v="611.44000000000005"/>
        <n v="2245.1999999999998"/>
        <n v="26333.119999999999"/>
        <n v="30458.93"/>
        <n v="60270.74"/>
        <n v="2540.85"/>
        <n v="136.88999999999999"/>
        <n v="913.56"/>
        <n v="225"/>
        <n v="484.9"/>
        <n v="821.58"/>
        <n v="8546.89"/>
        <n v="52757.73"/>
        <n v="8700.5400000000009"/>
        <n v="5578.65"/>
        <n v="2252.5300000000002"/>
        <n v="1176.31"/>
        <n v="46676.34"/>
        <n v="1012.98"/>
        <n v="1113.4000000000001"/>
        <n v="1073.44"/>
        <n v="153.6"/>
        <n v="8378.81"/>
        <n v="8172.47"/>
        <n v="638.79"/>
        <n v="742.8"/>
        <n v="49.98"/>
        <n v="397.8"/>
        <n v="2402.7600000000002"/>
        <n v="75.599999999999994"/>
        <n v="727.82"/>
        <n v="435"/>
        <n v="54813.58"/>
        <n v="3582.95"/>
        <n v="36678.699999999997"/>
        <n v="51327.72"/>
        <n v="6141.38"/>
        <n v="10800.18"/>
        <n v="109.99"/>
        <n v="2991.89"/>
        <n v="7497.72"/>
        <n v="38994.629999999997"/>
        <n v="3147.49"/>
        <n v="1969.6"/>
        <n v="428.99"/>
        <n v="6959.95"/>
        <n v="1978.53"/>
        <n v="9106.6"/>
        <n v="10512.58"/>
        <n v="359.6"/>
        <n v="20554.25"/>
        <n v="11045.61"/>
        <n v="1392.45"/>
        <n v="15317.7"/>
        <n v="494.9"/>
        <n v="53788.32"/>
        <n v="12769.01"/>
        <n v="19159.68"/>
        <n v="29037.52"/>
        <n v="48152.53"/>
        <n v="1069.98"/>
        <n v="599.6"/>
        <n v="422.19"/>
        <n v="289.49"/>
        <n v="1592.57"/>
        <n v="27531.279999999999"/>
        <n v="16878.47"/>
        <n v="31148.52"/>
        <n v="1890.22"/>
        <n v="24.95"/>
        <n v="975.23"/>
        <n v="898.12"/>
        <n v="1106.8900000000001"/>
        <n v="6069.98"/>
        <n v="37757.129999999997"/>
        <n v="4387.53"/>
        <n v="4976.8"/>
        <n v="1499.16"/>
        <n v="2850.64"/>
        <n v="28498.799999999999"/>
        <n v="234.2"/>
        <n v="495.6"/>
        <n v="891.91"/>
        <n v="44.8"/>
        <n v="8322.86"/>
        <n v="6235.96"/>
        <n v="89.89"/>
        <n v="750.1"/>
        <n v="169.75"/>
        <n v="367.2"/>
        <n v="1916.88"/>
        <n v="747.44"/>
        <n v="90.7"/>
        <n v="803"/>
        <n v="32335.34"/>
        <n v="2131.37"/>
        <n v="119.7"/>
        <n v="23779.34"/>
        <n v="39760.160000000003"/>
        <n v="3048.51"/>
        <n v="7989.38"/>
        <n v="1626.19"/>
        <n v="3878.12"/>
        <n v="27047.49"/>
        <n v="1470.88"/>
        <n v="714.48"/>
        <n v="494"/>
        <n v="5926.77"/>
        <n v="1448.69"/>
        <n v="7741.89"/>
        <n v="10439.129999999999"/>
        <n v="258.89999999999998"/>
        <n v="13954.45"/>
        <n v="9018"/>
        <n v="612.5"/>
        <n v="8589.0400000000009"/>
        <n v="4754.8999999999996"/>
        <n v="44116.9"/>
        <n v="8917.91"/>
        <n v="12175.47"/>
        <n v="15783.32"/>
        <n v="33419.33"/>
        <n v="2373.88"/>
        <n v="1447.49"/>
        <n v="1812.17"/>
        <n v="135"/>
        <n v="59.89"/>
        <n v="2500"/>
        <n v="4052.9"/>
        <n v="1731.99"/>
        <n v="779.9"/>
        <n v="230"/>
        <n v="77.900000000000006"/>
        <n v="5686.67"/>
        <n v="1105.8399999999999"/>
        <n v="466.5"/>
        <n v="69.98"/>
        <n v="18.45"/>
        <n v="119.9"/>
        <n v="269.98"/>
        <n v="4231.3900000000003"/>
        <n v="870.99"/>
        <n v="3568.13"/>
        <n v="8883.66"/>
        <n v="80"/>
        <n v="119.99"/>
        <n v="884.95"/>
        <n v="1267.48"/>
        <n v="289.7"/>
        <n v="533.79999999999995"/>
        <n v="1714.8"/>
        <n v="506.93"/>
        <n v="868.72"/>
        <n v="172.54"/>
        <n v="169.98"/>
        <n v="1486.7"/>
        <n v="3116.92"/>
        <n v="208.8"/>
        <n v="2365.89"/>
        <n v="1100.29"/>
        <n v="2896"/>
        <n v="25884.05"/>
        <n v="22761.84"/>
        <n v="14937.84"/>
        <n v="906.25"/>
        <n v="17538.490000000002"/>
        <n v="214277.27"/>
        <n v="156716.76"/>
        <n v="478284.52"/>
        <n v="19293.650000000001"/>
        <n v="2484.5"/>
        <n v="7490.78"/>
        <n v="350"/>
        <n v="2143.98"/>
        <n v="2033.91"/>
        <n v="61993.27"/>
        <n v="350747.88"/>
        <n v="64100.25"/>
        <n v="60894.73"/>
        <n v="18972.16"/>
        <n v="14227.47"/>
        <n v="213186.89"/>
        <n v="7482.75"/>
        <n v="6786.25"/>
        <n v="1087.69"/>
        <n v="9125.1200000000008"/>
        <n v="4292.66"/>
        <n v="53164.94"/>
        <n v="1448.97"/>
        <n v="57242.3"/>
        <n v="279.97000000000003"/>
        <n v="4294.28"/>
        <n v="6898.6"/>
        <n v="939.8"/>
        <n v="3670.75"/>
        <n v="15582.33"/>
        <n v="438.67"/>
        <n v="15478.57"/>
        <n v="6402.16"/>
        <n v="9946.06"/>
        <n v="286708.02"/>
        <n v="23332.23"/>
        <n v="2083.9"/>
        <n v="153180.74"/>
        <n v="462305.22"/>
        <n v="33872.230000000003"/>
        <n v="33073.760000000002"/>
        <n v="456.78"/>
        <n v="27333.63"/>
        <n v="34286.58"/>
        <n v="275378.63"/>
        <n v="18520.7"/>
        <n v="24029.26"/>
        <n v="729"/>
        <n v="57144.97"/>
        <n v="9824.6299999999992"/>
        <n v="2093.25"/>
        <n v="69582.41"/>
        <n v="108018.87"/>
        <n v="1585.88"/>
        <n v="166630.54999999999"/>
        <n v="89396.15"/>
        <n v="7949.51"/>
        <n v="72283.81"/>
        <n v="16562.55"/>
        <n v="386357.01"/>
        <n v="90598.73"/>
        <n v="2449.7600000000002"/>
        <n v="104088.28"/>
        <n v="185561.83"/>
        <n v="435009.92"/>
        <n v="175"/>
        <n v="2418.84"/>
        <n v="2179.63"/>
        <n v="1010.83"/>
        <n v="32.9"/>
        <n v="204.6"/>
        <n v="4360.97"/>
        <n v="328.7"/>
        <n v="274"/>
        <n v="3429.41"/>
        <n v="148.28"/>
        <n v="331.39"/>
        <n v="1390.99"/>
        <n v="2047.09"/>
        <n v="246.2"/>
        <n v="1206.3"/>
        <n v="4798.99"/>
        <n v="143.75"/>
        <n v="1016.98"/>
        <n v="1275.75"/>
        <n v="69"/>
        <n v="349.8"/>
        <n v="1226.54"/>
        <n v="1804.93"/>
        <n v="332.3"/>
        <n v="5144.32"/>
        <n v="276.8"/>
        <n v="1268.1199999999999"/>
        <n v="1864.15"/>
        <n v="5446.89"/>
      </sharedItems>
    </cacheField>
  </cacheFields>
  <extLst>
    <ext xmlns:x14="http://schemas.microsoft.com/office/spreadsheetml/2009/9/main" uri="{725AE2AE-9491-48be-B2B4-4EB974FC3084}">
      <x14:pivotCacheDefinition pivotCacheId="17458241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6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0"/>
    <x v="12"/>
    <x v="12"/>
  </r>
  <r>
    <x v="0"/>
    <x v="13"/>
    <x v="13"/>
  </r>
  <r>
    <x v="0"/>
    <x v="14"/>
    <x v="14"/>
  </r>
  <r>
    <x v="0"/>
    <x v="15"/>
    <x v="15"/>
  </r>
  <r>
    <x v="0"/>
    <x v="16"/>
    <x v="16"/>
  </r>
  <r>
    <x v="0"/>
    <x v="17"/>
    <x v="17"/>
  </r>
  <r>
    <x v="0"/>
    <x v="18"/>
    <x v="18"/>
  </r>
  <r>
    <x v="0"/>
    <x v="19"/>
    <x v="19"/>
  </r>
  <r>
    <x v="0"/>
    <x v="20"/>
    <x v="20"/>
  </r>
  <r>
    <x v="0"/>
    <x v="21"/>
    <x v="21"/>
  </r>
  <r>
    <x v="0"/>
    <x v="22"/>
    <x v="22"/>
  </r>
  <r>
    <x v="0"/>
    <x v="23"/>
    <x v="23"/>
  </r>
  <r>
    <x v="0"/>
    <x v="24"/>
    <x v="24"/>
  </r>
  <r>
    <x v="0"/>
    <x v="25"/>
    <x v="25"/>
  </r>
  <r>
    <x v="0"/>
    <x v="26"/>
    <x v="26"/>
  </r>
  <r>
    <x v="1"/>
    <x v="27"/>
    <x v="27"/>
  </r>
  <r>
    <x v="1"/>
    <x v="28"/>
    <x v="28"/>
  </r>
  <r>
    <x v="1"/>
    <x v="29"/>
    <x v="29"/>
  </r>
  <r>
    <x v="1"/>
    <x v="0"/>
    <x v="30"/>
  </r>
  <r>
    <x v="1"/>
    <x v="1"/>
    <x v="31"/>
  </r>
  <r>
    <x v="1"/>
    <x v="2"/>
    <x v="32"/>
  </r>
  <r>
    <x v="1"/>
    <x v="3"/>
    <x v="33"/>
  </r>
  <r>
    <x v="1"/>
    <x v="5"/>
    <x v="34"/>
  </r>
  <r>
    <x v="1"/>
    <x v="6"/>
    <x v="35"/>
  </r>
  <r>
    <x v="1"/>
    <x v="7"/>
    <x v="36"/>
  </r>
  <r>
    <x v="1"/>
    <x v="30"/>
    <x v="37"/>
  </r>
  <r>
    <x v="1"/>
    <x v="8"/>
    <x v="38"/>
  </r>
  <r>
    <x v="1"/>
    <x v="31"/>
    <x v="39"/>
  </r>
  <r>
    <x v="1"/>
    <x v="32"/>
    <x v="40"/>
  </r>
  <r>
    <x v="1"/>
    <x v="9"/>
    <x v="41"/>
  </r>
  <r>
    <x v="1"/>
    <x v="10"/>
    <x v="42"/>
  </r>
  <r>
    <x v="1"/>
    <x v="11"/>
    <x v="43"/>
  </r>
  <r>
    <x v="1"/>
    <x v="33"/>
    <x v="44"/>
  </r>
  <r>
    <x v="1"/>
    <x v="34"/>
    <x v="45"/>
  </r>
  <r>
    <x v="1"/>
    <x v="35"/>
    <x v="46"/>
  </r>
  <r>
    <x v="1"/>
    <x v="12"/>
    <x v="47"/>
  </r>
  <r>
    <x v="1"/>
    <x v="13"/>
    <x v="48"/>
  </r>
  <r>
    <x v="1"/>
    <x v="14"/>
    <x v="49"/>
  </r>
  <r>
    <x v="1"/>
    <x v="15"/>
    <x v="50"/>
  </r>
  <r>
    <x v="1"/>
    <x v="36"/>
    <x v="51"/>
  </r>
  <r>
    <x v="1"/>
    <x v="37"/>
    <x v="52"/>
  </r>
  <r>
    <x v="1"/>
    <x v="38"/>
    <x v="10"/>
  </r>
  <r>
    <x v="1"/>
    <x v="39"/>
    <x v="53"/>
  </r>
  <r>
    <x v="1"/>
    <x v="16"/>
    <x v="54"/>
  </r>
  <r>
    <x v="1"/>
    <x v="40"/>
    <x v="55"/>
  </r>
  <r>
    <x v="1"/>
    <x v="41"/>
    <x v="56"/>
  </r>
  <r>
    <x v="1"/>
    <x v="17"/>
    <x v="57"/>
  </r>
  <r>
    <x v="1"/>
    <x v="18"/>
    <x v="58"/>
  </r>
  <r>
    <x v="1"/>
    <x v="19"/>
    <x v="59"/>
  </r>
  <r>
    <x v="1"/>
    <x v="42"/>
    <x v="60"/>
  </r>
  <r>
    <x v="1"/>
    <x v="20"/>
    <x v="61"/>
  </r>
  <r>
    <x v="1"/>
    <x v="43"/>
    <x v="62"/>
  </r>
  <r>
    <x v="1"/>
    <x v="22"/>
    <x v="63"/>
  </r>
  <r>
    <x v="1"/>
    <x v="23"/>
    <x v="64"/>
  </r>
  <r>
    <x v="1"/>
    <x v="24"/>
    <x v="65"/>
  </r>
  <r>
    <x v="1"/>
    <x v="25"/>
    <x v="66"/>
  </r>
  <r>
    <x v="1"/>
    <x v="26"/>
    <x v="67"/>
  </r>
  <r>
    <x v="2"/>
    <x v="28"/>
    <x v="68"/>
  </r>
  <r>
    <x v="2"/>
    <x v="44"/>
    <x v="69"/>
  </r>
  <r>
    <x v="2"/>
    <x v="29"/>
    <x v="10"/>
  </r>
  <r>
    <x v="2"/>
    <x v="0"/>
    <x v="70"/>
  </r>
  <r>
    <x v="2"/>
    <x v="1"/>
    <x v="71"/>
  </r>
  <r>
    <x v="2"/>
    <x v="2"/>
    <x v="72"/>
  </r>
  <r>
    <x v="2"/>
    <x v="3"/>
    <x v="73"/>
  </r>
  <r>
    <x v="2"/>
    <x v="5"/>
    <x v="74"/>
  </r>
  <r>
    <x v="2"/>
    <x v="6"/>
    <x v="75"/>
  </r>
  <r>
    <x v="2"/>
    <x v="7"/>
    <x v="76"/>
  </r>
  <r>
    <x v="2"/>
    <x v="8"/>
    <x v="77"/>
  </r>
  <r>
    <x v="2"/>
    <x v="45"/>
    <x v="78"/>
  </r>
  <r>
    <x v="2"/>
    <x v="31"/>
    <x v="79"/>
  </r>
  <r>
    <x v="2"/>
    <x v="9"/>
    <x v="80"/>
  </r>
  <r>
    <x v="2"/>
    <x v="10"/>
    <x v="81"/>
  </r>
  <r>
    <x v="2"/>
    <x v="33"/>
    <x v="82"/>
  </r>
  <r>
    <x v="2"/>
    <x v="34"/>
    <x v="83"/>
  </r>
  <r>
    <x v="2"/>
    <x v="12"/>
    <x v="84"/>
  </r>
  <r>
    <x v="2"/>
    <x v="14"/>
    <x v="85"/>
  </r>
  <r>
    <x v="2"/>
    <x v="15"/>
    <x v="86"/>
  </r>
  <r>
    <x v="2"/>
    <x v="36"/>
    <x v="87"/>
  </r>
  <r>
    <x v="2"/>
    <x v="37"/>
    <x v="28"/>
  </r>
  <r>
    <x v="2"/>
    <x v="39"/>
    <x v="88"/>
  </r>
  <r>
    <x v="2"/>
    <x v="16"/>
    <x v="89"/>
  </r>
  <r>
    <x v="2"/>
    <x v="17"/>
    <x v="90"/>
  </r>
  <r>
    <x v="2"/>
    <x v="18"/>
    <x v="91"/>
  </r>
  <r>
    <x v="2"/>
    <x v="46"/>
    <x v="92"/>
  </r>
  <r>
    <x v="2"/>
    <x v="19"/>
    <x v="93"/>
  </r>
  <r>
    <x v="2"/>
    <x v="42"/>
    <x v="94"/>
  </r>
  <r>
    <x v="2"/>
    <x v="20"/>
    <x v="95"/>
  </r>
  <r>
    <x v="2"/>
    <x v="43"/>
    <x v="96"/>
  </r>
  <r>
    <x v="2"/>
    <x v="22"/>
    <x v="97"/>
  </r>
  <r>
    <x v="2"/>
    <x v="23"/>
    <x v="98"/>
  </r>
  <r>
    <x v="2"/>
    <x v="47"/>
    <x v="99"/>
  </r>
  <r>
    <x v="2"/>
    <x v="24"/>
    <x v="100"/>
  </r>
  <r>
    <x v="2"/>
    <x v="25"/>
    <x v="101"/>
  </r>
  <r>
    <x v="2"/>
    <x v="26"/>
    <x v="102"/>
  </r>
  <r>
    <x v="3"/>
    <x v="27"/>
    <x v="103"/>
  </r>
  <r>
    <x v="3"/>
    <x v="44"/>
    <x v="104"/>
  </r>
  <r>
    <x v="3"/>
    <x v="0"/>
    <x v="105"/>
  </r>
  <r>
    <x v="3"/>
    <x v="2"/>
    <x v="106"/>
  </r>
  <r>
    <x v="3"/>
    <x v="5"/>
    <x v="107"/>
  </r>
  <r>
    <x v="3"/>
    <x v="6"/>
    <x v="108"/>
  </r>
  <r>
    <x v="3"/>
    <x v="7"/>
    <x v="109"/>
  </r>
  <r>
    <x v="3"/>
    <x v="8"/>
    <x v="110"/>
  </r>
  <r>
    <x v="3"/>
    <x v="9"/>
    <x v="111"/>
  </r>
  <r>
    <x v="3"/>
    <x v="33"/>
    <x v="112"/>
  </r>
  <r>
    <x v="3"/>
    <x v="12"/>
    <x v="113"/>
  </r>
  <r>
    <x v="3"/>
    <x v="14"/>
    <x v="114"/>
  </r>
  <r>
    <x v="3"/>
    <x v="15"/>
    <x v="115"/>
  </r>
  <r>
    <x v="3"/>
    <x v="16"/>
    <x v="116"/>
  </r>
  <r>
    <x v="3"/>
    <x v="19"/>
    <x v="117"/>
  </r>
  <r>
    <x v="3"/>
    <x v="43"/>
    <x v="118"/>
  </r>
  <r>
    <x v="3"/>
    <x v="22"/>
    <x v="119"/>
  </r>
  <r>
    <x v="3"/>
    <x v="23"/>
    <x v="120"/>
  </r>
  <r>
    <x v="3"/>
    <x v="24"/>
    <x v="121"/>
  </r>
  <r>
    <x v="3"/>
    <x v="25"/>
    <x v="122"/>
  </r>
  <r>
    <x v="3"/>
    <x v="26"/>
    <x v="123"/>
  </r>
  <r>
    <x v="4"/>
    <x v="27"/>
    <x v="124"/>
  </r>
  <r>
    <x v="4"/>
    <x v="28"/>
    <x v="125"/>
  </r>
  <r>
    <x v="4"/>
    <x v="44"/>
    <x v="126"/>
  </r>
  <r>
    <x v="4"/>
    <x v="29"/>
    <x v="127"/>
  </r>
  <r>
    <x v="4"/>
    <x v="0"/>
    <x v="128"/>
  </r>
  <r>
    <x v="4"/>
    <x v="1"/>
    <x v="129"/>
  </r>
  <r>
    <x v="4"/>
    <x v="2"/>
    <x v="130"/>
  </r>
  <r>
    <x v="4"/>
    <x v="3"/>
    <x v="131"/>
  </r>
  <r>
    <x v="4"/>
    <x v="48"/>
    <x v="132"/>
  </r>
  <r>
    <x v="4"/>
    <x v="49"/>
    <x v="133"/>
  </r>
  <r>
    <x v="4"/>
    <x v="4"/>
    <x v="134"/>
  </r>
  <r>
    <x v="4"/>
    <x v="50"/>
    <x v="135"/>
  </r>
  <r>
    <x v="4"/>
    <x v="5"/>
    <x v="136"/>
  </r>
  <r>
    <x v="4"/>
    <x v="6"/>
    <x v="137"/>
  </r>
  <r>
    <x v="4"/>
    <x v="7"/>
    <x v="138"/>
  </r>
  <r>
    <x v="4"/>
    <x v="30"/>
    <x v="139"/>
  </r>
  <r>
    <x v="4"/>
    <x v="51"/>
    <x v="140"/>
  </r>
  <r>
    <x v="4"/>
    <x v="52"/>
    <x v="141"/>
  </r>
  <r>
    <x v="4"/>
    <x v="8"/>
    <x v="142"/>
  </r>
  <r>
    <x v="4"/>
    <x v="45"/>
    <x v="143"/>
  </r>
  <r>
    <x v="4"/>
    <x v="53"/>
    <x v="144"/>
  </r>
  <r>
    <x v="4"/>
    <x v="54"/>
    <x v="145"/>
  </r>
  <r>
    <x v="4"/>
    <x v="31"/>
    <x v="146"/>
  </r>
  <r>
    <x v="4"/>
    <x v="9"/>
    <x v="147"/>
  </r>
  <r>
    <x v="4"/>
    <x v="55"/>
    <x v="148"/>
  </r>
  <r>
    <x v="4"/>
    <x v="10"/>
    <x v="149"/>
  </r>
  <r>
    <x v="4"/>
    <x v="56"/>
    <x v="150"/>
  </r>
  <r>
    <x v="4"/>
    <x v="57"/>
    <x v="151"/>
  </r>
  <r>
    <x v="4"/>
    <x v="11"/>
    <x v="152"/>
  </r>
  <r>
    <x v="4"/>
    <x v="58"/>
    <x v="153"/>
  </r>
  <r>
    <x v="4"/>
    <x v="59"/>
    <x v="154"/>
  </r>
  <r>
    <x v="4"/>
    <x v="33"/>
    <x v="155"/>
  </r>
  <r>
    <x v="4"/>
    <x v="34"/>
    <x v="156"/>
  </r>
  <r>
    <x v="4"/>
    <x v="35"/>
    <x v="157"/>
  </r>
  <r>
    <x v="4"/>
    <x v="60"/>
    <x v="158"/>
  </r>
  <r>
    <x v="4"/>
    <x v="12"/>
    <x v="159"/>
  </r>
  <r>
    <x v="4"/>
    <x v="13"/>
    <x v="160"/>
  </r>
  <r>
    <x v="4"/>
    <x v="14"/>
    <x v="161"/>
  </r>
  <r>
    <x v="4"/>
    <x v="15"/>
    <x v="162"/>
  </r>
  <r>
    <x v="4"/>
    <x v="36"/>
    <x v="163"/>
  </r>
  <r>
    <x v="4"/>
    <x v="37"/>
    <x v="164"/>
  </r>
  <r>
    <x v="4"/>
    <x v="61"/>
    <x v="165"/>
  </r>
  <r>
    <x v="4"/>
    <x v="38"/>
    <x v="166"/>
  </r>
  <r>
    <x v="4"/>
    <x v="39"/>
    <x v="167"/>
  </r>
  <r>
    <x v="4"/>
    <x v="16"/>
    <x v="168"/>
  </r>
  <r>
    <x v="4"/>
    <x v="40"/>
    <x v="169"/>
  </r>
  <r>
    <x v="4"/>
    <x v="41"/>
    <x v="170"/>
  </r>
  <r>
    <x v="4"/>
    <x v="17"/>
    <x v="171"/>
  </r>
  <r>
    <x v="4"/>
    <x v="18"/>
    <x v="172"/>
  </r>
  <r>
    <x v="4"/>
    <x v="19"/>
    <x v="173"/>
  </r>
  <r>
    <x v="4"/>
    <x v="42"/>
    <x v="174"/>
  </r>
  <r>
    <x v="4"/>
    <x v="20"/>
    <x v="175"/>
  </r>
  <r>
    <x v="4"/>
    <x v="43"/>
    <x v="176"/>
  </r>
  <r>
    <x v="4"/>
    <x v="62"/>
    <x v="177"/>
  </r>
  <r>
    <x v="4"/>
    <x v="21"/>
    <x v="178"/>
  </r>
  <r>
    <x v="4"/>
    <x v="63"/>
    <x v="179"/>
  </r>
  <r>
    <x v="4"/>
    <x v="22"/>
    <x v="180"/>
  </r>
  <r>
    <x v="4"/>
    <x v="23"/>
    <x v="181"/>
  </r>
  <r>
    <x v="4"/>
    <x v="47"/>
    <x v="182"/>
  </r>
  <r>
    <x v="4"/>
    <x v="24"/>
    <x v="183"/>
  </r>
  <r>
    <x v="4"/>
    <x v="25"/>
    <x v="184"/>
  </r>
  <r>
    <x v="4"/>
    <x v="26"/>
    <x v="185"/>
  </r>
  <r>
    <x v="5"/>
    <x v="27"/>
    <x v="186"/>
  </r>
  <r>
    <x v="5"/>
    <x v="28"/>
    <x v="187"/>
  </r>
  <r>
    <x v="5"/>
    <x v="29"/>
    <x v="188"/>
  </r>
  <r>
    <x v="5"/>
    <x v="0"/>
    <x v="189"/>
  </r>
  <r>
    <x v="5"/>
    <x v="1"/>
    <x v="190"/>
  </r>
  <r>
    <x v="5"/>
    <x v="2"/>
    <x v="191"/>
  </r>
  <r>
    <x v="5"/>
    <x v="3"/>
    <x v="192"/>
  </r>
  <r>
    <x v="5"/>
    <x v="49"/>
    <x v="193"/>
  </r>
  <r>
    <x v="5"/>
    <x v="4"/>
    <x v="194"/>
  </r>
  <r>
    <x v="5"/>
    <x v="5"/>
    <x v="195"/>
  </r>
  <r>
    <x v="5"/>
    <x v="6"/>
    <x v="196"/>
  </r>
  <r>
    <x v="5"/>
    <x v="7"/>
    <x v="197"/>
  </r>
  <r>
    <x v="5"/>
    <x v="30"/>
    <x v="198"/>
  </r>
  <r>
    <x v="5"/>
    <x v="51"/>
    <x v="58"/>
  </r>
  <r>
    <x v="5"/>
    <x v="52"/>
    <x v="199"/>
  </r>
  <r>
    <x v="5"/>
    <x v="8"/>
    <x v="200"/>
  </r>
  <r>
    <x v="5"/>
    <x v="45"/>
    <x v="201"/>
  </r>
  <r>
    <x v="5"/>
    <x v="53"/>
    <x v="202"/>
  </r>
  <r>
    <x v="5"/>
    <x v="54"/>
    <x v="203"/>
  </r>
  <r>
    <x v="5"/>
    <x v="31"/>
    <x v="204"/>
  </r>
  <r>
    <x v="5"/>
    <x v="9"/>
    <x v="205"/>
  </r>
  <r>
    <x v="5"/>
    <x v="10"/>
    <x v="206"/>
  </r>
  <r>
    <x v="5"/>
    <x v="57"/>
    <x v="207"/>
  </r>
  <r>
    <x v="5"/>
    <x v="11"/>
    <x v="208"/>
  </r>
  <r>
    <x v="5"/>
    <x v="33"/>
    <x v="209"/>
  </r>
  <r>
    <x v="5"/>
    <x v="34"/>
    <x v="210"/>
  </r>
  <r>
    <x v="5"/>
    <x v="35"/>
    <x v="211"/>
  </r>
  <r>
    <x v="5"/>
    <x v="12"/>
    <x v="212"/>
  </r>
  <r>
    <x v="5"/>
    <x v="13"/>
    <x v="213"/>
  </r>
  <r>
    <x v="5"/>
    <x v="14"/>
    <x v="214"/>
  </r>
  <r>
    <x v="5"/>
    <x v="15"/>
    <x v="215"/>
  </r>
  <r>
    <x v="5"/>
    <x v="36"/>
    <x v="216"/>
  </r>
  <r>
    <x v="5"/>
    <x v="37"/>
    <x v="217"/>
  </r>
  <r>
    <x v="5"/>
    <x v="38"/>
    <x v="218"/>
  </r>
  <r>
    <x v="5"/>
    <x v="39"/>
    <x v="219"/>
  </r>
  <r>
    <x v="5"/>
    <x v="16"/>
    <x v="220"/>
  </r>
  <r>
    <x v="5"/>
    <x v="40"/>
    <x v="221"/>
  </r>
  <r>
    <x v="5"/>
    <x v="41"/>
    <x v="222"/>
  </r>
  <r>
    <x v="5"/>
    <x v="17"/>
    <x v="223"/>
  </r>
  <r>
    <x v="5"/>
    <x v="18"/>
    <x v="224"/>
  </r>
  <r>
    <x v="5"/>
    <x v="46"/>
    <x v="83"/>
  </r>
  <r>
    <x v="5"/>
    <x v="19"/>
    <x v="225"/>
  </r>
  <r>
    <x v="5"/>
    <x v="42"/>
    <x v="226"/>
  </r>
  <r>
    <x v="5"/>
    <x v="20"/>
    <x v="227"/>
  </r>
  <r>
    <x v="5"/>
    <x v="43"/>
    <x v="228"/>
  </r>
  <r>
    <x v="5"/>
    <x v="21"/>
    <x v="229"/>
  </r>
  <r>
    <x v="5"/>
    <x v="22"/>
    <x v="230"/>
  </r>
  <r>
    <x v="5"/>
    <x v="23"/>
    <x v="231"/>
  </r>
  <r>
    <x v="5"/>
    <x v="47"/>
    <x v="207"/>
  </r>
  <r>
    <x v="5"/>
    <x v="24"/>
    <x v="232"/>
  </r>
  <r>
    <x v="5"/>
    <x v="25"/>
    <x v="233"/>
  </r>
  <r>
    <x v="5"/>
    <x v="26"/>
    <x v="234"/>
  </r>
  <r>
    <x v="6"/>
    <x v="28"/>
    <x v="235"/>
  </r>
  <r>
    <x v="6"/>
    <x v="44"/>
    <x v="236"/>
  </r>
  <r>
    <x v="6"/>
    <x v="64"/>
    <x v="237"/>
  </r>
  <r>
    <x v="6"/>
    <x v="29"/>
    <x v="238"/>
  </r>
  <r>
    <x v="6"/>
    <x v="0"/>
    <x v="239"/>
  </r>
  <r>
    <x v="6"/>
    <x v="1"/>
    <x v="240"/>
  </r>
  <r>
    <x v="6"/>
    <x v="2"/>
    <x v="241"/>
  </r>
  <r>
    <x v="6"/>
    <x v="3"/>
    <x v="242"/>
  </r>
  <r>
    <x v="6"/>
    <x v="49"/>
    <x v="243"/>
  </r>
  <r>
    <x v="6"/>
    <x v="4"/>
    <x v="244"/>
  </r>
  <r>
    <x v="6"/>
    <x v="50"/>
    <x v="245"/>
  </r>
  <r>
    <x v="6"/>
    <x v="5"/>
    <x v="246"/>
  </r>
  <r>
    <x v="6"/>
    <x v="6"/>
    <x v="247"/>
  </r>
  <r>
    <x v="6"/>
    <x v="7"/>
    <x v="248"/>
  </r>
  <r>
    <x v="6"/>
    <x v="30"/>
    <x v="249"/>
  </r>
  <r>
    <x v="6"/>
    <x v="51"/>
    <x v="250"/>
  </r>
  <r>
    <x v="6"/>
    <x v="52"/>
    <x v="251"/>
  </r>
  <r>
    <x v="6"/>
    <x v="8"/>
    <x v="252"/>
  </r>
  <r>
    <x v="6"/>
    <x v="45"/>
    <x v="253"/>
  </r>
  <r>
    <x v="6"/>
    <x v="31"/>
    <x v="254"/>
  </r>
  <r>
    <x v="6"/>
    <x v="32"/>
    <x v="255"/>
  </r>
  <r>
    <x v="6"/>
    <x v="9"/>
    <x v="256"/>
  </r>
  <r>
    <x v="6"/>
    <x v="55"/>
    <x v="257"/>
  </r>
  <r>
    <x v="6"/>
    <x v="10"/>
    <x v="258"/>
  </r>
  <r>
    <x v="6"/>
    <x v="11"/>
    <x v="259"/>
  </r>
  <r>
    <x v="6"/>
    <x v="58"/>
    <x v="260"/>
  </r>
  <r>
    <x v="6"/>
    <x v="59"/>
    <x v="261"/>
  </r>
  <r>
    <x v="6"/>
    <x v="33"/>
    <x v="262"/>
  </r>
  <r>
    <x v="6"/>
    <x v="34"/>
    <x v="263"/>
  </r>
  <r>
    <x v="6"/>
    <x v="35"/>
    <x v="264"/>
  </r>
  <r>
    <x v="6"/>
    <x v="60"/>
    <x v="265"/>
  </r>
  <r>
    <x v="6"/>
    <x v="12"/>
    <x v="266"/>
  </r>
  <r>
    <x v="6"/>
    <x v="13"/>
    <x v="267"/>
  </r>
  <r>
    <x v="6"/>
    <x v="65"/>
    <x v="268"/>
  </r>
  <r>
    <x v="6"/>
    <x v="14"/>
    <x v="269"/>
  </r>
  <r>
    <x v="6"/>
    <x v="15"/>
    <x v="270"/>
  </r>
  <r>
    <x v="6"/>
    <x v="36"/>
    <x v="271"/>
  </r>
  <r>
    <x v="6"/>
    <x v="37"/>
    <x v="272"/>
  </r>
  <r>
    <x v="6"/>
    <x v="38"/>
    <x v="273"/>
  </r>
  <r>
    <x v="6"/>
    <x v="39"/>
    <x v="274"/>
  </r>
  <r>
    <x v="6"/>
    <x v="16"/>
    <x v="275"/>
  </r>
  <r>
    <x v="6"/>
    <x v="40"/>
    <x v="276"/>
  </r>
  <r>
    <x v="6"/>
    <x v="41"/>
    <x v="277"/>
  </r>
  <r>
    <x v="6"/>
    <x v="17"/>
    <x v="278"/>
  </r>
  <r>
    <x v="6"/>
    <x v="18"/>
    <x v="279"/>
  </r>
  <r>
    <x v="6"/>
    <x v="46"/>
    <x v="280"/>
  </r>
  <r>
    <x v="6"/>
    <x v="19"/>
    <x v="281"/>
  </r>
  <r>
    <x v="6"/>
    <x v="42"/>
    <x v="282"/>
  </r>
  <r>
    <x v="6"/>
    <x v="66"/>
    <x v="283"/>
  </r>
  <r>
    <x v="6"/>
    <x v="20"/>
    <x v="284"/>
  </r>
  <r>
    <x v="6"/>
    <x v="43"/>
    <x v="285"/>
  </r>
  <r>
    <x v="6"/>
    <x v="67"/>
    <x v="286"/>
  </r>
  <r>
    <x v="6"/>
    <x v="62"/>
    <x v="287"/>
  </r>
  <r>
    <x v="6"/>
    <x v="21"/>
    <x v="288"/>
  </r>
  <r>
    <x v="6"/>
    <x v="63"/>
    <x v="289"/>
  </r>
  <r>
    <x v="6"/>
    <x v="22"/>
    <x v="290"/>
  </r>
  <r>
    <x v="6"/>
    <x v="23"/>
    <x v="291"/>
  </r>
  <r>
    <x v="6"/>
    <x v="24"/>
    <x v="292"/>
  </r>
  <r>
    <x v="6"/>
    <x v="25"/>
    <x v="293"/>
  </r>
  <r>
    <x v="6"/>
    <x v="26"/>
    <x v="294"/>
  </r>
  <r>
    <x v="7"/>
    <x v="27"/>
    <x v="295"/>
  </r>
  <r>
    <x v="7"/>
    <x v="28"/>
    <x v="296"/>
  </r>
  <r>
    <x v="7"/>
    <x v="44"/>
    <x v="297"/>
  </r>
  <r>
    <x v="7"/>
    <x v="29"/>
    <x v="298"/>
  </r>
  <r>
    <x v="7"/>
    <x v="0"/>
    <x v="299"/>
  </r>
  <r>
    <x v="7"/>
    <x v="1"/>
    <x v="300"/>
  </r>
  <r>
    <x v="7"/>
    <x v="2"/>
    <x v="301"/>
  </r>
  <r>
    <x v="7"/>
    <x v="3"/>
    <x v="302"/>
  </r>
  <r>
    <x v="7"/>
    <x v="49"/>
    <x v="303"/>
  </r>
  <r>
    <x v="7"/>
    <x v="4"/>
    <x v="304"/>
  </r>
  <r>
    <x v="7"/>
    <x v="50"/>
    <x v="305"/>
  </r>
  <r>
    <x v="7"/>
    <x v="5"/>
    <x v="306"/>
  </r>
  <r>
    <x v="7"/>
    <x v="6"/>
    <x v="307"/>
  </r>
  <r>
    <x v="7"/>
    <x v="7"/>
    <x v="308"/>
  </r>
  <r>
    <x v="7"/>
    <x v="30"/>
    <x v="309"/>
  </r>
  <r>
    <x v="7"/>
    <x v="51"/>
    <x v="310"/>
  </r>
  <r>
    <x v="7"/>
    <x v="8"/>
    <x v="311"/>
  </r>
  <r>
    <x v="7"/>
    <x v="45"/>
    <x v="312"/>
  </r>
  <r>
    <x v="7"/>
    <x v="53"/>
    <x v="313"/>
  </r>
  <r>
    <x v="7"/>
    <x v="31"/>
    <x v="314"/>
  </r>
  <r>
    <x v="7"/>
    <x v="9"/>
    <x v="315"/>
  </r>
  <r>
    <x v="7"/>
    <x v="55"/>
    <x v="316"/>
  </r>
  <r>
    <x v="7"/>
    <x v="10"/>
    <x v="317"/>
  </r>
  <r>
    <x v="7"/>
    <x v="57"/>
    <x v="318"/>
  </r>
  <r>
    <x v="7"/>
    <x v="11"/>
    <x v="319"/>
  </r>
  <r>
    <x v="7"/>
    <x v="59"/>
    <x v="320"/>
  </r>
  <r>
    <x v="7"/>
    <x v="33"/>
    <x v="321"/>
  </r>
  <r>
    <x v="7"/>
    <x v="68"/>
    <x v="322"/>
  </r>
  <r>
    <x v="7"/>
    <x v="34"/>
    <x v="323"/>
  </r>
  <r>
    <x v="7"/>
    <x v="35"/>
    <x v="324"/>
  </r>
  <r>
    <x v="7"/>
    <x v="60"/>
    <x v="325"/>
  </r>
  <r>
    <x v="7"/>
    <x v="12"/>
    <x v="326"/>
  </r>
  <r>
    <x v="7"/>
    <x v="13"/>
    <x v="327"/>
  </r>
  <r>
    <x v="7"/>
    <x v="14"/>
    <x v="328"/>
  </r>
  <r>
    <x v="7"/>
    <x v="15"/>
    <x v="329"/>
  </r>
  <r>
    <x v="7"/>
    <x v="36"/>
    <x v="330"/>
  </r>
  <r>
    <x v="7"/>
    <x v="37"/>
    <x v="331"/>
  </r>
  <r>
    <x v="7"/>
    <x v="61"/>
    <x v="165"/>
  </r>
  <r>
    <x v="7"/>
    <x v="38"/>
    <x v="332"/>
  </r>
  <r>
    <x v="7"/>
    <x v="39"/>
    <x v="333"/>
  </r>
  <r>
    <x v="7"/>
    <x v="16"/>
    <x v="334"/>
  </r>
  <r>
    <x v="7"/>
    <x v="40"/>
    <x v="335"/>
  </r>
  <r>
    <x v="7"/>
    <x v="41"/>
    <x v="336"/>
  </r>
  <r>
    <x v="7"/>
    <x v="17"/>
    <x v="337"/>
  </r>
  <r>
    <x v="7"/>
    <x v="18"/>
    <x v="338"/>
  </r>
  <r>
    <x v="7"/>
    <x v="19"/>
    <x v="339"/>
  </r>
  <r>
    <x v="7"/>
    <x v="42"/>
    <x v="340"/>
  </r>
  <r>
    <x v="7"/>
    <x v="66"/>
    <x v="341"/>
  </r>
  <r>
    <x v="7"/>
    <x v="20"/>
    <x v="342"/>
  </r>
  <r>
    <x v="7"/>
    <x v="43"/>
    <x v="343"/>
  </r>
  <r>
    <x v="7"/>
    <x v="62"/>
    <x v="344"/>
  </r>
  <r>
    <x v="7"/>
    <x v="21"/>
    <x v="345"/>
  </r>
  <r>
    <x v="7"/>
    <x v="22"/>
    <x v="346"/>
  </r>
  <r>
    <x v="7"/>
    <x v="23"/>
    <x v="347"/>
  </r>
  <r>
    <x v="7"/>
    <x v="47"/>
    <x v="348"/>
  </r>
  <r>
    <x v="7"/>
    <x v="24"/>
    <x v="349"/>
  </r>
  <r>
    <x v="7"/>
    <x v="25"/>
    <x v="350"/>
  </r>
  <r>
    <x v="7"/>
    <x v="26"/>
    <x v="351"/>
  </r>
  <r>
    <x v="8"/>
    <x v="27"/>
    <x v="352"/>
  </r>
  <r>
    <x v="8"/>
    <x v="28"/>
    <x v="353"/>
  </r>
  <r>
    <x v="8"/>
    <x v="44"/>
    <x v="354"/>
  </r>
  <r>
    <x v="8"/>
    <x v="29"/>
    <x v="355"/>
  </r>
  <r>
    <x v="8"/>
    <x v="0"/>
    <x v="356"/>
  </r>
  <r>
    <x v="8"/>
    <x v="1"/>
    <x v="357"/>
  </r>
  <r>
    <x v="8"/>
    <x v="2"/>
    <x v="358"/>
  </r>
  <r>
    <x v="8"/>
    <x v="3"/>
    <x v="359"/>
  </r>
  <r>
    <x v="8"/>
    <x v="49"/>
    <x v="360"/>
  </r>
  <r>
    <x v="8"/>
    <x v="4"/>
    <x v="361"/>
  </r>
  <r>
    <x v="8"/>
    <x v="50"/>
    <x v="362"/>
  </r>
  <r>
    <x v="8"/>
    <x v="5"/>
    <x v="363"/>
  </r>
  <r>
    <x v="8"/>
    <x v="6"/>
    <x v="364"/>
  </r>
  <r>
    <x v="8"/>
    <x v="7"/>
    <x v="365"/>
  </r>
  <r>
    <x v="8"/>
    <x v="30"/>
    <x v="366"/>
  </r>
  <r>
    <x v="8"/>
    <x v="51"/>
    <x v="367"/>
  </r>
  <r>
    <x v="8"/>
    <x v="52"/>
    <x v="368"/>
  </r>
  <r>
    <x v="8"/>
    <x v="8"/>
    <x v="369"/>
  </r>
  <r>
    <x v="8"/>
    <x v="45"/>
    <x v="370"/>
  </r>
  <r>
    <x v="8"/>
    <x v="53"/>
    <x v="371"/>
  </r>
  <r>
    <x v="8"/>
    <x v="31"/>
    <x v="372"/>
  </r>
  <r>
    <x v="8"/>
    <x v="32"/>
    <x v="373"/>
  </r>
  <r>
    <x v="8"/>
    <x v="9"/>
    <x v="374"/>
  </r>
  <r>
    <x v="8"/>
    <x v="55"/>
    <x v="375"/>
  </r>
  <r>
    <x v="8"/>
    <x v="10"/>
    <x v="376"/>
  </r>
  <r>
    <x v="8"/>
    <x v="57"/>
    <x v="377"/>
  </r>
  <r>
    <x v="8"/>
    <x v="11"/>
    <x v="378"/>
  </r>
  <r>
    <x v="8"/>
    <x v="59"/>
    <x v="379"/>
  </r>
  <r>
    <x v="8"/>
    <x v="33"/>
    <x v="380"/>
  </r>
  <r>
    <x v="8"/>
    <x v="68"/>
    <x v="260"/>
  </r>
  <r>
    <x v="8"/>
    <x v="34"/>
    <x v="381"/>
  </r>
  <r>
    <x v="8"/>
    <x v="60"/>
    <x v="382"/>
  </r>
  <r>
    <x v="8"/>
    <x v="12"/>
    <x v="383"/>
  </r>
  <r>
    <x v="8"/>
    <x v="13"/>
    <x v="384"/>
  </r>
  <r>
    <x v="8"/>
    <x v="65"/>
    <x v="385"/>
  </r>
  <r>
    <x v="8"/>
    <x v="14"/>
    <x v="386"/>
  </r>
  <r>
    <x v="8"/>
    <x v="15"/>
    <x v="387"/>
  </r>
  <r>
    <x v="8"/>
    <x v="36"/>
    <x v="388"/>
  </r>
  <r>
    <x v="8"/>
    <x v="37"/>
    <x v="389"/>
  </r>
  <r>
    <x v="8"/>
    <x v="61"/>
    <x v="390"/>
  </r>
  <r>
    <x v="8"/>
    <x v="38"/>
    <x v="391"/>
  </r>
  <r>
    <x v="8"/>
    <x v="39"/>
    <x v="392"/>
  </r>
  <r>
    <x v="8"/>
    <x v="16"/>
    <x v="393"/>
  </r>
  <r>
    <x v="8"/>
    <x v="40"/>
    <x v="394"/>
  </r>
  <r>
    <x v="8"/>
    <x v="41"/>
    <x v="395"/>
  </r>
  <r>
    <x v="8"/>
    <x v="69"/>
    <x v="396"/>
  </r>
  <r>
    <x v="8"/>
    <x v="17"/>
    <x v="397"/>
  </r>
  <r>
    <x v="8"/>
    <x v="18"/>
    <x v="398"/>
  </r>
  <r>
    <x v="8"/>
    <x v="46"/>
    <x v="399"/>
  </r>
  <r>
    <x v="8"/>
    <x v="19"/>
    <x v="400"/>
  </r>
  <r>
    <x v="8"/>
    <x v="42"/>
    <x v="401"/>
  </r>
  <r>
    <x v="8"/>
    <x v="66"/>
    <x v="402"/>
  </r>
  <r>
    <x v="8"/>
    <x v="20"/>
    <x v="403"/>
  </r>
  <r>
    <x v="8"/>
    <x v="43"/>
    <x v="404"/>
  </r>
  <r>
    <x v="8"/>
    <x v="62"/>
    <x v="405"/>
  </r>
  <r>
    <x v="8"/>
    <x v="21"/>
    <x v="406"/>
  </r>
  <r>
    <x v="8"/>
    <x v="22"/>
    <x v="407"/>
  </r>
  <r>
    <x v="8"/>
    <x v="23"/>
    <x v="408"/>
  </r>
  <r>
    <x v="8"/>
    <x v="47"/>
    <x v="409"/>
  </r>
  <r>
    <x v="8"/>
    <x v="24"/>
    <x v="410"/>
  </r>
  <r>
    <x v="8"/>
    <x v="25"/>
    <x v="411"/>
  </r>
  <r>
    <x v="8"/>
    <x v="26"/>
    <x v="412"/>
  </r>
  <r>
    <x v="9"/>
    <x v="27"/>
    <x v="413"/>
  </r>
  <r>
    <x v="9"/>
    <x v="28"/>
    <x v="55"/>
  </r>
  <r>
    <x v="9"/>
    <x v="29"/>
    <x v="414"/>
  </r>
  <r>
    <x v="9"/>
    <x v="0"/>
    <x v="415"/>
  </r>
  <r>
    <x v="9"/>
    <x v="1"/>
    <x v="416"/>
  </r>
  <r>
    <x v="9"/>
    <x v="2"/>
    <x v="417"/>
  </r>
  <r>
    <x v="9"/>
    <x v="3"/>
    <x v="418"/>
  </r>
  <r>
    <x v="9"/>
    <x v="48"/>
    <x v="419"/>
  </r>
  <r>
    <x v="9"/>
    <x v="49"/>
    <x v="420"/>
  </r>
  <r>
    <x v="9"/>
    <x v="70"/>
    <x v="421"/>
  </r>
  <r>
    <x v="9"/>
    <x v="4"/>
    <x v="422"/>
  </r>
  <r>
    <x v="9"/>
    <x v="50"/>
    <x v="423"/>
  </r>
  <r>
    <x v="9"/>
    <x v="5"/>
    <x v="424"/>
  </r>
  <r>
    <x v="9"/>
    <x v="6"/>
    <x v="425"/>
  </r>
  <r>
    <x v="9"/>
    <x v="7"/>
    <x v="426"/>
  </r>
  <r>
    <x v="9"/>
    <x v="30"/>
    <x v="427"/>
  </r>
  <r>
    <x v="9"/>
    <x v="51"/>
    <x v="428"/>
  </r>
  <r>
    <x v="9"/>
    <x v="8"/>
    <x v="429"/>
  </r>
  <r>
    <x v="9"/>
    <x v="9"/>
    <x v="430"/>
  </r>
  <r>
    <x v="9"/>
    <x v="10"/>
    <x v="431"/>
  </r>
  <r>
    <x v="9"/>
    <x v="57"/>
    <x v="432"/>
  </r>
  <r>
    <x v="9"/>
    <x v="11"/>
    <x v="433"/>
  </r>
  <r>
    <x v="9"/>
    <x v="58"/>
    <x v="434"/>
  </r>
  <r>
    <x v="9"/>
    <x v="33"/>
    <x v="435"/>
  </r>
  <r>
    <x v="9"/>
    <x v="35"/>
    <x v="436"/>
  </r>
  <r>
    <x v="9"/>
    <x v="12"/>
    <x v="437"/>
  </r>
  <r>
    <x v="9"/>
    <x v="13"/>
    <x v="438"/>
  </r>
  <r>
    <x v="9"/>
    <x v="14"/>
    <x v="439"/>
  </r>
  <r>
    <x v="9"/>
    <x v="15"/>
    <x v="440"/>
  </r>
  <r>
    <x v="9"/>
    <x v="36"/>
    <x v="441"/>
  </r>
  <r>
    <x v="9"/>
    <x v="38"/>
    <x v="442"/>
  </r>
  <r>
    <x v="9"/>
    <x v="39"/>
    <x v="443"/>
  </r>
  <r>
    <x v="9"/>
    <x v="16"/>
    <x v="444"/>
  </r>
  <r>
    <x v="9"/>
    <x v="40"/>
    <x v="445"/>
  </r>
  <r>
    <x v="9"/>
    <x v="17"/>
    <x v="446"/>
  </r>
  <r>
    <x v="9"/>
    <x v="18"/>
    <x v="447"/>
  </r>
  <r>
    <x v="9"/>
    <x v="19"/>
    <x v="448"/>
  </r>
  <r>
    <x v="9"/>
    <x v="42"/>
    <x v="449"/>
  </r>
  <r>
    <x v="9"/>
    <x v="20"/>
    <x v="450"/>
  </r>
  <r>
    <x v="9"/>
    <x v="43"/>
    <x v="451"/>
  </r>
  <r>
    <x v="9"/>
    <x v="21"/>
    <x v="452"/>
  </r>
  <r>
    <x v="9"/>
    <x v="22"/>
    <x v="453"/>
  </r>
  <r>
    <x v="9"/>
    <x v="23"/>
    <x v="454"/>
  </r>
  <r>
    <x v="9"/>
    <x v="47"/>
    <x v="455"/>
  </r>
  <r>
    <x v="9"/>
    <x v="24"/>
    <x v="456"/>
  </r>
  <r>
    <x v="9"/>
    <x v="25"/>
    <x v="457"/>
  </r>
  <r>
    <x v="9"/>
    <x v="26"/>
    <x v="458"/>
  </r>
  <r>
    <x v="10"/>
    <x v="27"/>
    <x v="459"/>
  </r>
  <r>
    <x v="10"/>
    <x v="28"/>
    <x v="460"/>
  </r>
  <r>
    <x v="10"/>
    <x v="44"/>
    <x v="461"/>
  </r>
  <r>
    <x v="10"/>
    <x v="64"/>
    <x v="462"/>
  </r>
  <r>
    <x v="10"/>
    <x v="29"/>
    <x v="463"/>
  </r>
  <r>
    <x v="10"/>
    <x v="0"/>
    <x v="464"/>
  </r>
  <r>
    <x v="10"/>
    <x v="1"/>
    <x v="465"/>
  </r>
  <r>
    <x v="10"/>
    <x v="2"/>
    <x v="466"/>
  </r>
  <r>
    <x v="10"/>
    <x v="3"/>
    <x v="467"/>
  </r>
  <r>
    <x v="10"/>
    <x v="48"/>
    <x v="468"/>
  </r>
  <r>
    <x v="10"/>
    <x v="49"/>
    <x v="469"/>
  </r>
  <r>
    <x v="10"/>
    <x v="4"/>
    <x v="470"/>
  </r>
  <r>
    <x v="10"/>
    <x v="50"/>
    <x v="471"/>
  </r>
  <r>
    <x v="10"/>
    <x v="5"/>
    <x v="472"/>
  </r>
  <r>
    <x v="10"/>
    <x v="6"/>
    <x v="473"/>
  </r>
  <r>
    <x v="10"/>
    <x v="7"/>
    <x v="474"/>
  </r>
  <r>
    <x v="10"/>
    <x v="30"/>
    <x v="475"/>
  </r>
  <r>
    <x v="10"/>
    <x v="51"/>
    <x v="476"/>
  </r>
  <r>
    <x v="10"/>
    <x v="52"/>
    <x v="477"/>
  </r>
  <r>
    <x v="10"/>
    <x v="8"/>
    <x v="478"/>
  </r>
  <r>
    <x v="10"/>
    <x v="45"/>
    <x v="479"/>
  </r>
  <r>
    <x v="10"/>
    <x v="53"/>
    <x v="480"/>
  </r>
  <r>
    <x v="10"/>
    <x v="54"/>
    <x v="481"/>
  </r>
  <r>
    <x v="10"/>
    <x v="31"/>
    <x v="482"/>
  </r>
  <r>
    <x v="10"/>
    <x v="32"/>
    <x v="483"/>
  </r>
  <r>
    <x v="10"/>
    <x v="9"/>
    <x v="484"/>
  </r>
  <r>
    <x v="10"/>
    <x v="55"/>
    <x v="485"/>
  </r>
  <r>
    <x v="10"/>
    <x v="10"/>
    <x v="486"/>
  </r>
  <r>
    <x v="10"/>
    <x v="57"/>
    <x v="487"/>
  </r>
  <r>
    <x v="10"/>
    <x v="11"/>
    <x v="488"/>
  </r>
  <r>
    <x v="10"/>
    <x v="58"/>
    <x v="489"/>
  </r>
  <r>
    <x v="10"/>
    <x v="59"/>
    <x v="490"/>
  </r>
  <r>
    <x v="10"/>
    <x v="33"/>
    <x v="491"/>
  </r>
  <r>
    <x v="10"/>
    <x v="68"/>
    <x v="492"/>
  </r>
  <r>
    <x v="10"/>
    <x v="34"/>
    <x v="493"/>
  </r>
  <r>
    <x v="10"/>
    <x v="35"/>
    <x v="494"/>
  </r>
  <r>
    <x v="10"/>
    <x v="60"/>
    <x v="495"/>
  </r>
  <r>
    <x v="10"/>
    <x v="12"/>
    <x v="496"/>
  </r>
  <r>
    <x v="10"/>
    <x v="13"/>
    <x v="497"/>
  </r>
  <r>
    <x v="10"/>
    <x v="65"/>
    <x v="498"/>
  </r>
  <r>
    <x v="10"/>
    <x v="14"/>
    <x v="499"/>
  </r>
  <r>
    <x v="10"/>
    <x v="15"/>
    <x v="500"/>
  </r>
  <r>
    <x v="10"/>
    <x v="36"/>
    <x v="501"/>
  </r>
  <r>
    <x v="10"/>
    <x v="37"/>
    <x v="502"/>
  </r>
  <r>
    <x v="10"/>
    <x v="61"/>
    <x v="503"/>
  </r>
  <r>
    <x v="10"/>
    <x v="38"/>
    <x v="504"/>
  </r>
  <r>
    <x v="10"/>
    <x v="39"/>
    <x v="505"/>
  </r>
  <r>
    <x v="10"/>
    <x v="16"/>
    <x v="506"/>
  </r>
  <r>
    <x v="10"/>
    <x v="40"/>
    <x v="507"/>
  </r>
  <r>
    <x v="10"/>
    <x v="41"/>
    <x v="508"/>
  </r>
  <r>
    <x v="10"/>
    <x v="69"/>
    <x v="509"/>
  </r>
  <r>
    <x v="10"/>
    <x v="17"/>
    <x v="510"/>
  </r>
  <r>
    <x v="10"/>
    <x v="18"/>
    <x v="511"/>
  </r>
  <r>
    <x v="10"/>
    <x v="46"/>
    <x v="512"/>
  </r>
  <r>
    <x v="10"/>
    <x v="19"/>
    <x v="513"/>
  </r>
  <r>
    <x v="10"/>
    <x v="42"/>
    <x v="514"/>
  </r>
  <r>
    <x v="10"/>
    <x v="66"/>
    <x v="515"/>
  </r>
  <r>
    <x v="10"/>
    <x v="20"/>
    <x v="516"/>
  </r>
  <r>
    <x v="10"/>
    <x v="43"/>
    <x v="517"/>
  </r>
  <r>
    <x v="10"/>
    <x v="62"/>
    <x v="518"/>
  </r>
  <r>
    <x v="10"/>
    <x v="21"/>
    <x v="519"/>
  </r>
  <r>
    <x v="10"/>
    <x v="63"/>
    <x v="520"/>
  </r>
  <r>
    <x v="10"/>
    <x v="22"/>
    <x v="521"/>
  </r>
  <r>
    <x v="10"/>
    <x v="23"/>
    <x v="522"/>
  </r>
  <r>
    <x v="10"/>
    <x v="47"/>
    <x v="523"/>
  </r>
  <r>
    <x v="10"/>
    <x v="24"/>
    <x v="524"/>
  </r>
  <r>
    <x v="10"/>
    <x v="25"/>
    <x v="525"/>
  </r>
  <r>
    <x v="10"/>
    <x v="26"/>
    <x v="526"/>
  </r>
  <r>
    <x v="11"/>
    <x v="27"/>
    <x v="527"/>
  </r>
  <r>
    <x v="11"/>
    <x v="44"/>
    <x v="528"/>
  </r>
  <r>
    <x v="11"/>
    <x v="29"/>
    <x v="529"/>
  </r>
  <r>
    <x v="11"/>
    <x v="0"/>
    <x v="530"/>
  </r>
  <r>
    <x v="11"/>
    <x v="1"/>
    <x v="531"/>
  </r>
  <r>
    <x v="11"/>
    <x v="2"/>
    <x v="532"/>
  </r>
  <r>
    <x v="11"/>
    <x v="3"/>
    <x v="533"/>
  </r>
  <r>
    <x v="11"/>
    <x v="49"/>
    <x v="534"/>
  </r>
  <r>
    <x v="11"/>
    <x v="4"/>
    <x v="535"/>
  </r>
  <r>
    <x v="11"/>
    <x v="5"/>
    <x v="536"/>
  </r>
  <r>
    <x v="11"/>
    <x v="6"/>
    <x v="537"/>
  </r>
  <r>
    <x v="11"/>
    <x v="7"/>
    <x v="538"/>
  </r>
  <r>
    <x v="11"/>
    <x v="30"/>
    <x v="539"/>
  </r>
  <r>
    <x v="11"/>
    <x v="51"/>
    <x v="540"/>
  </r>
  <r>
    <x v="11"/>
    <x v="52"/>
    <x v="541"/>
  </r>
  <r>
    <x v="11"/>
    <x v="8"/>
    <x v="542"/>
  </r>
  <r>
    <x v="11"/>
    <x v="45"/>
    <x v="543"/>
  </r>
  <r>
    <x v="11"/>
    <x v="53"/>
    <x v="544"/>
  </r>
  <r>
    <x v="11"/>
    <x v="31"/>
    <x v="545"/>
  </r>
  <r>
    <x v="11"/>
    <x v="32"/>
    <x v="546"/>
  </r>
  <r>
    <x v="11"/>
    <x v="9"/>
    <x v="547"/>
  </r>
  <r>
    <x v="11"/>
    <x v="10"/>
    <x v="548"/>
  </r>
  <r>
    <x v="11"/>
    <x v="11"/>
    <x v="549"/>
  </r>
  <r>
    <x v="11"/>
    <x v="59"/>
    <x v="550"/>
  </r>
  <r>
    <x v="11"/>
    <x v="33"/>
    <x v="551"/>
  </r>
  <r>
    <x v="11"/>
    <x v="68"/>
    <x v="552"/>
  </r>
  <r>
    <x v="11"/>
    <x v="34"/>
    <x v="553"/>
  </r>
  <r>
    <x v="11"/>
    <x v="35"/>
    <x v="554"/>
  </r>
  <r>
    <x v="11"/>
    <x v="60"/>
    <x v="555"/>
  </r>
  <r>
    <x v="11"/>
    <x v="12"/>
    <x v="556"/>
  </r>
  <r>
    <x v="11"/>
    <x v="13"/>
    <x v="557"/>
  </r>
  <r>
    <x v="11"/>
    <x v="14"/>
    <x v="558"/>
  </r>
  <r>
    <x v="11"/>
    <x v="15"/>
    <x v="559"/>
  </r>
  <r>
    <x v="11"/>
    <x v="36"/>
    <x v="560"/>
  </r>
  <r>
    <x v="11"/>
    <x v="37"/>
    <x v="561"/>
  </r>
  <r>
    <x v="11"/>
    <x v="38"/>
    <x v="562"/>
  </r>
  <r>
    <x v="11"/>
    <x v="39"/>
    <x v="563"/>
  </r>
  <r>
    <x v="11"/>
    <x v="16"/>
    <x v="564"/>
  </r>
  <r>
    <x v="11"/>
    <x v="40"/>
    <x v="10"/>
  </r>
  <r>
    <x v="11"/>
    <x v="17"/>
    <x v="565"/>
  </r>
  <r>
    <x v="11"/>
    <x v="18"/>
    <x v="566"/>
  </r>
  <r>
    <x v="11"/>
    <x v="19"/>
    <x v="567"/>
  </r>
  <r>
    <x v="11"/>
    <x v="42"/>
    <x v="568"/>
  </r>
  <r>
    <x v="11"/>
    <x v="20"/>
    <x v="569"/>
  </r>
  <r>
    <x v="11"/>
    <x v="43"/>
    <x v="570"/>
  </r>
  <r>
    <x v="11"/>
    <x v="62"/>
    <x v="571"/>
  </r>
  <r>
    <x v="11"/>
    <x v="21"/>
    <x v="572"/>
  </r>
  <r>
    <x v="11"/>
    <x v="63"/>
    <x v="289"/>
  </r>
  <r>
    <x v="11"/>
    <x v="22"/>
    <x v="573"/>
  </r>
  <r>
    <x v="11"/>
    <x v="23"/>
    <x v="574"/>
  </r>
  <r>
    <x v="11"/>
    <x v="47"/>
    <x v="575"/>
  </r>
  <r>
    <x v="11"/>
    <x v="24"/>
    <x v="576"/>
  </r>
  <r>
    <x v="11"/>
    <x v="25"/>
    <x v="577"/>
  </r>
  <r>
    <x v="11"/>
    <x v="26"/>
    <x v="578"/>
  </r>
  <r>
    <x v="12"/>
    <x v="27"/>
    <x v="579"/>
  </r>
  <r>
    <x v="12"/>
    <x v="28"/>
    <x v="580"/>
  </r>
  <r>
    <x v="12"/>
    <x v="44"/>
    <x v="581"/>
  </r>
  <r>
    <x v="12"/>
    <x v="29"/>
    <x v="582"/>
  </r>
  <r>
    <x v="12"/>
    <x v="0"/>
    <x v="583"/>
  </r>
  <r>
    <x v="12"/>
    <x v="1"/>
    <x v="584"/>
  </r>
  <r>
    <x v="12"/>
    <x v="2"/>
    <x v="585"/>
  </r>
  <r>
    <x v="12"/>
    <x v="3"/>
    <x v="586"/>
  </r>
  <r>
    <x v="12"/>
    <x v="49"/>
    <x v="587"/>
  </r>
  <r>
    <x v="12"/>
    <x v="4"/>
    <x v="13"/>
  </r>
  <r>
    <x v="12"/>
    <x v="50"/>
    <x v="588"/>
  </r>
  <r>
    <x v="12"/>
    <x v="5"/>
    <x v="589"/>
  </r>
  <r>
    <x v="12"/>
    <x v="6"/>
    <x v="590"/>
  </r>
  <r>
    <x v="12"/>
    <x v="7"/>
    <x v="591"/>
  </r>
  <r>
    <x v="12"/>
    <x v="30"/>
    <x v="592"/>
  </r>
  <r>
    <x v="12"/>
    <x v="51"/>
    <x v="593"/>
  </r>
  <r>
    <x v="12"/>
    <x v="52"/>
    <x v="594"/>
  </r>
  <r>
    <x v="12"/>
    <x v="8"/>
    <x v="595"/>
  </r>
  <r>
    <x v="12"/>
    <x v="53"/>
    <x v="596"/>
  </r>
  <r>
    <x v="12"/>
    <x v="31"/>
    <x v="597"/>
  </r>
  <r>
    <x v="12"/>
    <x v="9"/>
    <x v="598"/>
  </r>
  <r>
    <x v="12"/>
    <x v="55"/>
    <x v="599"/>
  </r>
  <r>
    <x v="12"/>
    <x v="10"/>
    <x v="600"/>
  </r>
  <r>
    <x v="12"/>
    <x v="57"/>
    <x v="601"/>
  </r>
  <r>
    <x v="12"/>
    <x v="11"/>
    <x v="602"/>
  </r>
  <r>
    <x v="12"/>
    <x v="59"/>
    <x v="13"/>
  </r>
  <r>
    <x v="12"/>
    <x v="34"/>
    <x v="603"/>
  </r>
  <r>
    <x v="12"/>
    <x v="60"/>
    <x v="604"/>
  </r>
  <r>
    <x v="12"/>
    <x v="12"/>
    <x v="605"/>
  </r>
  <r>
    <x v="12"/>
    <x v="13"/>
    <x v="606"/>
  </r>
  <r>
    <x v="12"/>
    <x v="14"/>
    <x v="607"/>
  </r>
  <r>
    <x v="12"/>
    <x v="15"/>
    <x v="608"/>
  </r>
  <r>
    <x v="12"/>
    <x v="36"/>
    <x v="609"/>
  </r>
  <r>
    <x v="12"/>
    <x v="37"/>
    <x v="610"/>
  </r>
  <r>
    <x v="12"/>
    <x v="38"/>
    <x v="611"/>
  </r>
  <r>
    <x v="12"/>
    <x v="39"/>
    <x v="612"/>
  </r>
  <r>
    <x v="12"/>
    <x v="16"/>
    <x v="613"/>
  </r>
  <r>
    <x v="12"/>
    <x v="40"/>
    <x v="614"/>
  </r>
  <r>
    <x v="12"/>
    <x v="41"/>
    <x v="615"/>
  </r>
  <r>
    <x v="12"/>
    <x v="17"/>
    <x v="616"/>
  </r>
  <r>
    <x v="12"/>
    <x v="18"/>
    <x v="617"/>
  </r>
  <r>
    <x v="12"/>
    <x v="19"/>
    <x v="618"/>
  </r>
  <r>
    <x v="12"/>
    <x v="42"/>
    <x v="619"/>
  </r>
  <r>
    <x v="12"/>
    <x v="20"/>
    <x v="620"/>
  </r>
  <r>
    <x v="12"/>
    <x v="43"/>
    <x v="621"/>
  </r>
  <r>
    <x v="12"/>
    <x v="62"/>
    <x v="622"/>
  </r>
  <r>
    <x v="12"/>
    <x v="21"/>
    <x v="623"/>
  </r>
  <r>
    <x v="12"/>
    <x v="63"/>
    <x v="289"/>
  </r>
  <r>
    <x v="12"/>
    <x v="22"/>
    <x v="624"/>
  </r>
  <r>
    <x v="12"/>
    <x v="23"/>
    <x v="625"/>
  </r>
  <r>
    <x v="12"/>
    <x v="47"/>
    <x v="626"/>
  </r>
  <r>
    <x v="12"/>
    <x v="24"/>
    <x v="627"/>
  </r>
  <r>
    <x v="12"/>
    <x v="25"/>
    <x v="628"/>
  </r>
  <r>
    <x v="12"/>
    <x v="26"/>
    <x v="629"/>
  </r>
  <r>
    <x v="13"/>
    <x v="27"/>
    <x v="630"/>
  </r>
  <r>
    <x v="13"/>
    <x v="44"/>
    <x v="631"/>
  </r>
  <r>
    <x v="13"/>
    <x v="29"/>
    <x v="632"/>
  </r>
  <r>
    <x v="13"/>
    <x v="0"/>
    <x v="633"/>
  </r>
  <r>
    <x v="13"/>
    <x v="1"/>
    <x v="634"/>
  </r>
  <r>
    <x v="13"/>
    <x v="2"/>
    <x v="635"/>
  </r>
  <r>
    <x v="13"/>
    <x v="3"/>
    <x v="636"/>
  </r>
  <r>
    <x v="13"/>
    <x v="48"/>
    <x v="637"/>
  </r>
  <r>
    <x v="13"/>
    <x v="49"/>
    <x v="638"/>
  </r>
  <r>
    <x v="13"/>
    <x v="4"/>
    <x v="639"/>
  </r>
  <r>
    <x v="13"/>
    <x v="50"/>
    <x v="208"/>
  </r>
  <r>
    <x v="13"/>
    <x v="5"/>
    <x v="640"/>
  </r>
  <r>
    <x v="13"/>
    <x v="6"/>
    <x v="641"/>
  </r>
  <r>
    <x v="13"/>
    <x v="7"/>
    <x v="642"/>
  </r>
  <r>
    <x v="13"/>
    <x v="30"/>
    <x v="643"/>
  </r>
  <r>
    <x v="13"/>
    <x v="51"/>
    <x v="644"/>
  </r>
  <r>
    <x v="13"/>
    <x v="8"/>
    <x v="645"/>
  </r>
  <r>
    <x v="13"/>
    <x v="45"/>
    <x v="646"/>
  </r>
  <r>
    <x v="13"/>
    <x v="53"/>
    <x v="647"/>
  </r>
  <r>
    <x v="13"/>
    <x v="31"/>
    <x v="648"/>
  </r>
  <r>
    <x v="13"/>
    <x v="9"/>
    <x v="649"/>
  </r>
  <r>
    <x v="13"/>
    <x v="10"/>
    <x v="650"/>
  </r>
  <r>
    <x v="13"/>
    <x v="57"/>
    <x v="651"/>
  </r>
  <r>
    <x v="13"/>
    <x v="11"/>
    <x v="652"/>
  </r>
  <r>
    <x v="13"/>
    <x v="58"/>
    <x v="653"/>
  </r>
  <r>
    <x v="13"/>
    <x v="59"/>
    <x v="654"/>
  </r>
  <r>
    <x v="13"/>
    <x v="33"/>
    <x v="655"/>
  </r>
  <r>
    <x v="13"/>
    <x v="35"/>
    <x v="656"/>
  </r>
  <r>
    <x v="13"/>
    <x v="12"/>
    <x v="657"/>
  </r>
  <r>
    <x v="13"/>
    <x v="13"/>
    <x v="658"/>
  </r>
  <r>
    <x v="13"/>
    <x v="14"/>
    <x v="659"/>
  </r>
  <r>
    <x v="13"/>
    <x v="15"/>
    <x v="660"/>
  </r>
  <r>
    <x v="13"/>
    <x v="36"/>
    <x v="661"/>
  </r>
  <r>
    <x v="13"/>
    <x v="39"/>
    <x v="662"/>
  </r>
  <r>
    <x v="13"/>
    <x v="16"/>
    <x v="663"/>
  </r>
  <r>
    <x v="13"/>
    <x v="41"/>
    <x v="664"/>
  </r>
  <r>
    <x v="13"/>
    <x v="17"/>
    <x v="665"/>
  </r>
  <r>
    <x v="13"/>
    <x v="18"/>
    <x v="666"/>
  </r>
  <r>
    <x v="13"/>
    <x v="19"/>
    <x v="667"/>
  </r>
  <r>
    <x v="13"/>
    <x v="42"/>
    <x v="668"/>
  </r>
  <r>
    <x v="13"/>
    <x v="20"/>
    <x v="669"/>
  </r>
  <r>
    <x v="13"/>
    <x v="43"/>
    <x v="670"/>
  </r>
  <r>
    <x v="13"/>
    <x v="62"/>
    <x v="671"/>
  </r>
  <r>
    <x v="13"/>
    <x v="21"/>
    <x v="672"/>
  </r>
  <r>
    <x v="13"/>
    <x v="22"/>
    <x v="673"/>
  </r>
  <r>
    <x v="13"/>
    <x v="23"/>
    <x v="674"/>
  </r>
  <r>
    <x v="13"/>
    <x v="47"/>
    <x v="675"/>
  </r>
  <r>
    <x v="13"/>
    <x v="24"/>
    <x v="676"/>
  </r>
  <r>
    <x v="13"/>
    <x v="25"/>
    <x v="677"/>
  </r>
  <r>
    <x v="13"/>
    <x v="26"/>
    <x v="678"/>
  </r>
  <r>
    <x v="14"/>
    <x v="27"/>
    <x v="679"/>
  </r>
  <r>
    <x v="14"/>
    <x v="28"/>
    <x v="680"/>
  </r>
  <r>
    <x v="14"/>
    <x v="44"/>
    <x v="681"/>
  </r>
  <r>
    <x v="14"/>
    <x v="29"/>
    <x v="682"/>
  </r>
  <r>
    <x v="14"/>
    <x v="0"/>
    <x v="683"/>
  </r>
  <r>
    <x v="14"/>
    <x v="1"/>
    <x v="684"/>
  </r>
  <r>
    <x v="14"/>
    <x v="2"/>
    <x v="685"/>
  </r>
  <r>
    <x v="14"/>
    <x v="3"/>
    <x v="686"/>
  </r>
  <r>
    <x v="14"/>
    <x v="5"/>
    <x v="687"/>
  </r>
  <r>
    <x v="14"/>
    <x v="6"/>
    <x v="688"/>
  </r>
  <r>
    <x v="14"/>
    <x v="7"/>
    <x v="689"/>
  </r>
  <r>
    <x v="14"/>
    <x v="30"/>
    <x v="690"/>
  </r>
  <r>
    <x v="14"/>
    <x v="52"/>
    <x v="691"/>
  </r>
  <r>
    <x v="14"/>
    <x v="8"/>
    <x v="692"/>
  </r>
  <r>
    <x v="14"/>
    <x v="45"/>
    <x v="693"/>
  </r>
  <r>
    <x v="14"/>
    <x v="53"/>
    <x v="694"/>
  </r>
  <r>
    <x v="14"/>
    <x v="54"/>
    <x v="695"/>
  </r>
  <r>
    <x v="14"/>
    <x v="9"/>
    <x v="696"/>
  </r>
  <r>
    <x v="14"/>
    <x v="55"/>
    <x v="697"/>
  </r>
  <r>
    <x v="14"/>
    <x v="10"/>
    <x v="698"/>
  </r>
  <r>
    <x v="14"/>
    <x v="11"/>
    <x v="699"/>
  </r>
  <r>
    <x v="14"/>
    <x v="33"/>
    <x v="700"/>
  </r>
  <r>
    <x v="14"/>
    <x v="34"/>
    <x v="701"/>
  </r>
  <r>
    <x v="14"/>
    <x v="12"/>
    <x v="702"/>
  </r>
  <r>
    <x v="14"/>
    <x v="13"/>
    <x v="703"/>
  </r>
  <r>
    <x v="14"/>
    <x v="14"/>
    <x v="704"/>
  </r>
  <r>
    <x v="14"/>
    <x v="15"/>
    <x v="705"/>
  </r>
  <r>
    <x v="14"/>
    <x v="36"/>
    <x v="706"/>
  </r>
  <r>
    <x v="14"/>
    <x v="38"/>
    <x v="562"/>
  </r>
  <r>
    <x v="14"/>
    <x v="39"/>
    <x v="707"/>
  </r>
  <r>
    <x v="14"/>
    <x v="16"/>
    <x v="708"/>
  </r>
  <r>
    <x v="14"/>
    <x v="40"/>
    <x v="709"/>
  </r>
  <r>
    <x v="14"/>
    <x v="41"/>
    <x v="710"/>
  </r>
  <r>
    <x v="14"/>
    <x v="17"/>
    <x v="711"/>
  </r>
  <r>
    <x v="14"/>
    <x v="18"/>
    <x v="712"/>
  </r>
  <r>
    <x v="14"/>
    <x v="19"/>
    <x v="713"/>
  </r>
  <r>
    <x v="14"/>
    <x v="42"/>
    <x v="714"/>
  </r>
  <r>
    <x v="14"/>
    <x v="20"/>
    <x v="715"/>
  </r>
  <r>
    <x v="14"/>
    <x v="43"/>
    <x v="716"/>
  </r>
  <r>
    <x v="14"/>
    <x v="62"/>
    <x v="717"/>
  </r>
  <r>
    <x v="14"/>
    <x v="21"/>
    <x v="718"/>
  </r>
  <r>
    <x v="14"/>
    <x v="22"/>
    <x v="719"/>
  </r>
  <r>
    <x v="14"/>
    <x v="23"/>
    <x v="720"/>
  </r>
  <r>
    <x v="14"/>
    <x v="24"/>
    <x v="721"/>
  </r>
  <r>
    <x v="14"/>
    <x v="25"/>
    <x v="722"/>
  </r>
  <r>
    <x v="14"/>
    <x v="26"/>
    <x v="723"/>
  </r>
  <r>
    <x v="15"/>
    <x v="27"/>
    <x v="724"/>
  </r>
  <r>
    <x v="15"/>
    <x v="28"/>
    <x v="725"/>
  </r>
  <r>
    <x v="15"/>
    <x v="44"/>
    <x v="681"/>
  </r>
  <r>
    <x v="15"/>
    <x v="29"/>
    <x v="726"/>
  </r>
  <r>
    <x v="15"/>
    <x v="0"/>
    <x v="727"/>
  </r>
  <r>
    <x v="15"/>
    <x v="1"/>
    <x v="728"/>
  </r>
  <r>
    <x v="15"/>
    <x v="2"/>
    <x v="729"/>
  </r>
  <r>
    <x v="15"/>
    <x v="3"/>
    <x v="730"/>
  </r>
  <r>
    <x v="15"/>
    <x v="49"/>
    <x v="731"/>
  </r>
  <r>
    <x v="15"/>
    <x v="4"/>
    <x v="732"/>
  </r>
  <r>
    <x v="15"/>
    <x v="50"/>
    <x v="423"/>
  </r>
  <r>
    <x v="15"/>
    <x v="5"/>
    <x v="733"/>
  </r>
  <r>
    <x v="15"/>
    <x v="6"/>
    <x v="734"/>
  </r>
  <r>
    <x v="15"/>
    <x v="7"/>
    <x v="735"/>
  </r>
  <r>
    <x v="15"/>
    <x v="30"/>
    <x v="736"/>
  </r>
  <r>
    <x v="15"/>
    <x v="51"/>
    <x v="737"/>
  </r>
  <r>
    <x v="15"/>
    <x v="52"/>
    <x v="738"/>
  </r>
  <r>
    <x v="15"/>
    <x v="8"/>
    <x v="739"/>
  </r>
  <r>
    <x v="15"/>
    <x v="45"/>
    <x v="740"/>
  </r>
  <r>
    <x v="15"/>
    <x v="53"/>
    <x v="596"/>
  </r>
  <r>
    <x v="15"/>
    <x v="32"/>
    <x v="741"/>
  </r>
  <r>
    <x v="15"/>
    <x v="9"/>
    <x v="742"/>
  </r>
  <r>
    <x v="15"/>
    <x v="10"/>
    <x v="743"/>
  </r>
  <r>
    <x v="15"/>
    <x v="11"/>
    <x v="744"/>
  </r>
  <r>
    <x v="15"/>
    <x v="59"/>
    <x v="170"/>
  </r>
  <r>
    <x v="15"/>
    <x v="33"/>
    <x v="745"/>
  </r>
  <r>
    <x v="15"/>
    <x v="68"/>
    <x v="697"/>
  </r>
  <r>
    <x v="15"/>
    <x v="34"/>
    <x v="746"/>
  </r>
  <r>
    <x v="15"/>
    <x v="35"/>
    <x v="747"/>
  </r>
  <r>
    <x v="15"/>
    <x v="60"/>
    <x v="748"/>
  </r>
  <r>
    <x v="15"/>
    <x v="12"/>
    <x v="749"/>
  </r>
  <r>
    <x v="15"/>
    <x v="13"/>
    <x v="750"/>
  </r>
  <r>
    <x v="15"/>
    <x v="14"/>
    <x v="751"/>
  </r>
  <r>
    <x v="15"/>
    <x v="15"/>
    <x v="752"/>
  </r>
  <r>
    <x v="15"/>
    <x v="36"/>
    <x v="753"/>
  </r>
  <r>
    <x v="15"/>
    <x v="37"/>
    <x v="754"/>
  </r>
  <r>
    <x v="15"/>
    <x v="38"/>
    <x v="755"/>
  </r>
  <r>
    <x v="15"/>
    <x v="39"/>
    <x v="756"/>
  </r>
  <r>
    <x v="15"/>
    <x v="16"/>
    <x v="757"/>
  </r>
  <r>
    <x v="15"/>
    <x v="40"/>
    <x v="758"/>
  </r>
  <r>
    <x v="15"/>
    <x v="41"/>
    <x v="759"/>
  </r>
  <r>
    <x v="15"/>
    <x v="17"/>
    <x v="760"/>
  </r>
  <r>
    <x v="15"/>
    <x v="18"/>
    <x v="761"/>
  </r>
  <r>
    <x v="15"/>
    <x v="19"/>
    <x v="762"/>
  </r>
  <r>
    <x v="15"/>
    <x v="42"/>
    <x v="763"/>
  </r>
  <r>
    <x v="15"/>
    <x v="20"/>
    <x v="764"/>
  </r>
  <r>
    <x v="15"/>
    <x v="43"/>
    <x v="765"/>
  </r>
  <r>
    <x v="15"/>
    <x v="62"/>
    <x v="766"/>
  </r>
  <r>
    <x v="15"/>
    <x v="21"/>
    <x v="767"/>
  </r>
  <r>
    <x v="15"/>
    <x v="63"/>
    <x v="768"/>
  </r>
  <r>
    <x v="15"/>
    <x v="22"/>
    <x v="769"/>
  </r>
  <r>
    <x v="15"/>
    <x v="23"/>
    <x v="770"/>
  </r>
  <r>
    <x v="15"/>
    <x v="47"/>
    <x v="575"/>
  </r>
  <r>
    <x v="15"/>
    <x v="24"/>
    <x v="771"/>
  </r>
  <r>
    <x v="15"/>
    <x v="25"/>
    <x v="772"/>
  </r>
  <r>
    <x v="15"/>
    <x v="26"/>
    <x v="773"/>
  </r>
  <r>
    <x v="16"/>
    <x v="27"/>
    <x v="774"/>
  </r>
  <r>
    <x v="16"/>
    <x v="28"/>
    <x v="775"/>
  </r>
  <r>
    <x v="16"/>
    <x v="44"/>
    <x v="776"/>
  </r>
  <r>
    <x v="16"/>
    <x v="29"/>
    <x v="777"/>
  </r>
  <r>
    <x v="16"/>
    <x v="0"/>
    <x v="778"/>
  </r>
  <r>
    <x v="16"/>
    <x v="1"/>
    <x v="779"/>
  </r>
  <r>
    <x v="16"/>
    <x v="2"/>
    <x v="780"/>
  </r>
  <r>
    <x v="16"/>
    <x v="3"/>
    <x v="781"/>
  </r>
  <r>
    <x v="16"/>
    <x v="49"/>
    <x v="782"/>
  </r>
  <r>
    <x v="16"/>
    <x v="5"/>
    <x v="783"/>
  </r>
  <r>
    <x v="16"/>
    <x v="6"/>
    <x v="784"/>
  </r>
  <r>
    <x v="16"/>
    <x v="7"/>
    <x v="785"/>
  </r>
  <r>
    <x v="16"/>
    <x v="30"/>
    <x v="786"/>
  </r>
  <r>
    <x v="16"/>
    <x v="51"/>
    <x v="787"/>
  </r>
  <r>
    <x v="16"/>
    <x v="8"/>
    <x v="788"/>
  </r>
  <r>
    <x v="16"/>
    <x v="45"/>
    <x v="789"/>
  </r>
  <r>
    <x v="16"/>
    <x v="31"/>
    <x v="435"/>
  </r>
  <r>
    <x v="16"/>
    <x v="32"/>
    <x v="790"/>
  </r>
  <r>
    <x v="16"/>
    <x v="9"/>
    <x v="791"/>
  </r>
  <r>
    <x v="16"/>
    <x v="10"/>
    <x v="792"/>
  </r>
  <r>
    <x v="16"/>
    <x v="11"/>
    <x v="793"/>
  </r>
  <r>
    <x v="16"/>
    <x v="59"/>
    <x v="794"/>
  </r>
  <r>
    <x v="16"/>
    <x v="33"/>
    <x v="795"/>
  </r>
  <r>
    <x v="16"/>
    <x v="34"/>
    <x v="83"/>
  </r>
  <r>
    <x v="16"/>
    <x v="35"/>
    <x v="796"/>
  </r>
  <r>
    <x v="16"/>
    <x v="12"/>
    <x v="797"/>
  </r>
  <r>
    <x v="16"/>
    <x v="13"/>
    <x v="798"/>
  </r>
  <r>
    <x v="16"/>
    <x v="14"/>
    <x v="799"/>
  </r>
  <r>
    <x v="16"/>
    <x v="15"/>
    <x v="800"/>
  </r>
  <r>
    <x v="16"/>
    <x v="36"/>
    <x v="801"/>
  </r>
  <r>
    <x v="16"/>
    <x v="37"/>
    <x v="802"/>
  </r>
  <r>
    <x v="16"/>
    <x v="38"/>
    <x v="803"/>
  </r>
  <r>
    <x v="16"/>
    <x v="39"/>
    <x v="804"/>
  </r>
  <r>
    <x v="16"/>
    <x v="16"/>
    <x v="805"/>
  </r>
  <r>
    <x v="16"/>
    <x v="40"/>
    <x v="806"/>
  </r>
  <r>
    <x v="16"/>
    <x v="17"/>
    <x v="807"/>
  </r>
  <r>
    <x v="16"/>
    <x v="18"/>
    <x v="808"/>
  </r>
  <r>
    <x v="16"/>
    <x v="19"/>
    <x v="809"/>
  </r>
  <r>
    <x v="16"/>
    <x v="42"/>
    <x v="810"/>
  </r>
  <r>
    <x v="16"/>
    <x v="66"/>
    <x v="283"/>
  </r>
  <r>
    <x v="16"/>
    <x v="20"/>
    <x v="811"/>
  </r>
  <r>
    <x v="16"/>
    <x v="43"/>
    <x v="812"/>
  </r>
  <r>
    <x v="16"/>
    <x v="22"/>
    <x v="813"/>
  </r>
  <r>
    <x v="16"/>
    <x v="23"/>
    <x v="814"/>
  </r>
  <r>
    <x v="16"/>
    <x v="47"/>
    <x v="787"/>
  </r>
  <r>
    <x v="16"/>
    <x v="24"/>
    <x v="815"/>
  </r>
  <r>
    <x v="16"/>
    <x v="25"/>
    <x v="816"/>
  </r>
  <r>
    <x v="16"/>
    <x v="26"/>
    <x v="817"/>
  </r>
  <r>
    <x v="17"/>
    <x v="27"/>
    <x v="818"/>
  </r>
  <r>
    <x v="17"/>
    <x v="28"/>
    <x v="819"/>
  </r>
  <r>
    <x v="17"/>
    <x v="44"/>
    <x v="820"/>
  </r>
  <r>
    <x v="17"/>
    <x v="29"/>
    <x v="821"/>
  </r>
  <r>
    <x v="17"/>
    <x v="0"/>
    <x v="822"/>
  </r>
  <r>
    <x v="17"/>
    <x v="1"/>
    <x v="823"/>
  </r>
  <r>
    <x v="17"/>
    <x v="2"/>
    <x v="824"/>
  </r>
  <r>
    <x v="17"/>
    <x v="3"/>
    <x v="825"/>
  </r>
  <r>
    <x v="17"/>
    <x v="48"/>
    <x v="826"/>
  </r>
  <r>
    <x v="17"/>
    <x v="49"/>
    <x v="827"/>
  </r>
  <r>
    <x v="17"/>
    <x v="4"/>
    <x v="828"/>
  </r>
  <r>
    <x v="17"/>
    <x v="50"/>
    <x v="829"/>
  </r>
  <r>
    <x v="17"/>
    <x v="5"/>
    <x v="830"/>
  </r>
  <r>
    <x v="17"/>
    <x v="6"/>
    <x v="831"/>
  </r>
  <r>
    <x v="17"/>
    <x v="7"/>
    <x v="832"/>
  </r>
  <r>
    <x v="17"/>
    <x v="30"/>
    <x v="833"/>
  </r>
  <r>
    <x v="17"/>
    <x v="51"/>
    <x v="834"/>
  </r>
  <r>
    <x v="17"/>
    <x v="52"/>
    <x v="835"/>
  </r>
  <r>
    <x v="17"/>
    <x v="8"/>
    <x v="836"/>
  </r>
  <r>
    <x v="17"/>
    <x v="45"/>
    <x v="837"/>
  </r>
  <r>
    <x v="17"/>
    <x v="53"/>
    <x v="838"/>
  </r>
  <r>
    <x v="17"/>
    <x v="54"/>
    <x v="839"/>
  </r>
  <r>
    <x v="17"/>
    <x v="31"/>
    <x v="840"/>
  </r>
  <r>
    <x v="17"/>
    <x v="32"/>
    <x v="841"/>
  </r>
  <r>
    <x v="17"/>
    <x v="9"/>
    <x v="842"/>
  </r>
  <r>
    <x v="17"/>
    <x v="55"/>
    <x v="10"/>
  </r>
  <r>
    <x v="17"/>
    <x v="10"/>
    <x v="843"/>
  </r>
  <r>
    <x v="17"/>
    <x v="57"/>
    <x v="844"/>
  </r>
  <r>
    <x v="17"/>
    <x v="11"/>
    <x v="845"/>
  </r>
  <r>
    <x v="17"/>
    <x v="58"/>
    <x v="297"/>
  </r>
  <r>
    <x v="17"/>
    <x v="59"/>
    <x v="846"/>
  </r>
  <r>
    <x v="17"/>
    <x v="33"/>
    <x v="847"/>
  </r>
  <r>
    <x v="17"/>
    <x v="34"/>
    <x v="848"/>
  </r>
  <r>
    <x v="17"/>
    <x v="35"/>
    <x v="849"/>
  </r>
  <r>
    <x v="17"/>
    <x v="60"/>
    <x v="850"/>
  </r>
  <r>
    <x v="17"/>
    <x v="12"/>
    <x v="851"/>
  </r>
  <r>
    <x v="17"/>
    <x v="13"/>
    <x v="852"/>
  </r>
  <r>
    <x v="17"/>
    <x v="14"/>
    <x v="853"/>
  </r>
  <r>
    <x v="17"/>
    <x v="15"/>
    <x v="854"/>
  </r>
  <r>
    <x v="17"/>
    <x v="36"/>
    <x v="855"/>
  </r>
  <r>
    <x v="17"/>
    <x v="37"/>
    <x v="856"/>
  </r>
  <r>
    <x v="17"/>
    <x v="61"/>
    <x v="165"/>
  </r>
  <r>
    <x v="17"/>
    <x v="38"/>
    <x v="857"/>
  </r>
  <r>
    <x v="17"/>
    <x v="39"/>
    <x v="858"/>
  </r>
  <r>
    <x v="17"/>
    <x v="16"/>
    <x v="859"/>
  </r>
  <r>
    <x v="17"/>
    <x v="40"/>
    <x v="860"/>
  </r>
  <r>
    <x v="17"/>
    <x v="41"/>
    <x v="861"/>
  </r>
  <r>
    <x v="17"/>
    <x v="17"/>
    <x v="862"/>
  </r>
  <r>
    <x v="17"/>
    <x v="18"/>
    <x v="863"/>
  </r>
  <r>
    <x v="17"/>
    <x v="46"/>
    <x v="864"/>
  </r>
  <r>
    <x v="17"/>
    <x v="19"/>
    <x v="865"/>
  </r>
  <r>
    <x v="17"/>
    <x v="42"/>
    <x v="866"/>
  </r>
  <r>
    <x v="17"/>
    <x v="66"/>
    <x v="867"/>
  </r>
  <r>
    <x v="17"/>
    <x v="20"/>
    <x v="868"/>
  </r>
  <r>
    <x v="17"/>
    <x v="43"/>
    <x v="869"/>
  </r>
  <r>
    <x v="17"/>
    <x v="62"/>
    <x v="870"/>
  </r>
  <r>
    <x v="17"/>
    <x v="21"/>
    <x v="871"/>
  </r>
  <r>
    <x v="17"/>
    <x v="63"/>
    <x v="872"/>
  </r>
  <r>
    <x v="17"/>
    <x v="22"/>
    <x v="873"/>
  </r>
  <r>
    <x v="17"/>
    <x v="23"/>
    <x v="874"/>
  </r>
  <r>
    <x v="17"/>
    <x v="47"/>
    <x v="428"/>
  </r>
  <r>
    <x v="17"/>
    <x v="24"/>
    <x v="875"/>
  </r>
  <r>
    <x v="17"/>
    <x v="25"/>
    <x v="876"/>
  </r>
  <r>
    <x v="17"/>
    <x v="26"/>
    <x v="877"/>
  </r>
  <r>
    <x v="18"/>
    <x v="27"/>
    <x v="878"/>
  </r>
  <r>
    <x v="18"/>
    <x v="28"/>
    <x v="879"/>
  </r>
  <r>
    <x v="18"/>
    <x v="44"/>
    <x v="880"/>
  </r>
  <r>
    <x v="18"/>
    <x v="29"/>
    <x v="881"/>
  </r>
  <r>
    <x v="18"/>
    <x v="0"/>
    <x v="882"/>
  </r>
  <r>
    <x v="18"/>
    <x v="1"/>
    <x v="883"/>
  </r>
  <r>
    <x v="18"/>
    <x v="2"/>
    <x v="884"/>
  </r>
  <r>
    <x v="18"/>
    <x v="3"/>
    <x v="885"/>
  </r>
  <r>
    <x v="18"/>
    <x v="48"/>
    <x v="886"/>
  </r>
  <r>
    <x v="18"/>
    <x v="49"/>
    <x v="887"/>
  </r>
  <r>
    <x v="18"/>
    <x v="70"/>
    <x v="435"/>
  </r>
  <r>
    <x v="18"/>
    <x v="4"/>
    <x v="888"/>
  </r>
  <r>
    <x v="18"/>
    <x v="50"/>
    <x v="889"/>
  </r>
  <r>
    <x v="18"/>
    <x v="5"/>
    <x v="890"/>
  </r>
  <r>
    <x v="18"/>
    <x v="6"/>
    <x v="891"/>
  </r>
  <r>
    <x v="18"/>
    <x v="7"/>
    <x v="892"/>
  </r>
  <r>
    <x v="18"/>
    <x v="30"/>
    <x v="893"/>
  </r>
  <r>
    <x v="18"/>
    <x v="51"/>
    <x v="894"/>
  </r>
  <r>
    <x v="18"/>
    <x v="52"/>
    <x v="895"/>
  </r>
  <r>
    <x v="18"/>
    <x v="8"/>
    <x v="896"/>
  </r>
  <r>
    <x v="18"/>
    <x v="45"/>
    <x v="897"/>
  </r>
  <r>
    <x v="18"/>
    <x v="53"/>
    <x v="898"/>
  </r>
  <r>
    <x v="18"/>
    <x v="54"/>
    <x v="899"/>
  </r>
  <r>
    <x v="18"/>
    <x v="31"/>
    <x v="900"/>
  </r>
  <r>
    <x v="18"/>
    <x v="32"/>
    <x v="901"/>
  </r>
  <r>
    <x v="18"/>
    <x v="9"/>
    <x v="902"/>
  </r>
  <r>
    <x v="18"/>
    <x v="55"/>
    <x v="697"/>
  </r>
  <r>
    <x v="18"/>
    <x v="10"/>
    <x v="903"/>
  </r>
  <r>
    <x v="18"/>
    <x v="56"/>
    <x v="320"/>
  </r>
  <r>
    <x v="18"/>
    <x v="57"/>
    <x v="904"/>
  </r>
  <r>
    <x v="18"/>
    <x v="11"/>
    <x v="905"/>
  </r>
  <r>
    <x v="18"/>
    <x v="58"/>
    <x v="906"/>
  </r>
  <r>
    <x v="18"/>
    <x v="59"/>
    <x v="907"/>
  </r>
  <r>
    <x v="18"/>
    <x v="33"/>
    <x v="908"/>
  </r>
  <r>
    <x v="18"/>
    <x v="68"/>
    <x v="909"/>
  </r>
  <r>
    <x v="18"/>
    <x v="34"/>
    <x v="910"/>
  </r>
  <r>
    <x v="18"/>
    <x v="35"/>
    <x v="911"/>
  </r>
  <r>
    <x v="18"/>
    <x v="60"/>
    <x v="912"/>
  </r>
  <r>
    <x v="18"/>
    <x v="12"/>
    <x v="913"/>
  </r>
  <r>
    <x v="18"/>
    <x v="13"/>
    <x v="914"/>
  </r>
  <r>
    <x v="18"/>
    <x v="65"/>
    <x v="915"/>
  </r>
  <r>
    <x v="18"/>
    <x v="14"/>
    <x v="916"/>
  </r>
  <r>
    <x v="18"/>
    <x v="15"/>
    <x v="917"/>
  </r>
  <r>
    <x v="18"/>
    <x v="36"/>
    <x v="918"/>
  </r>
  <r>
    <x v="18"/>
    <x v="37"/>
    <x v="919"/>
  </r>
  <r>
    <x v="18"/>
    <x v="61"/>
    <x v="920"/>
  </r>
  <r>
    <x v="18"/>
    <x v="38"/>
    <x v="921"/>
  </r>
  <r>
    <x v="18"/>
    <x v="39"/>
    <x v="922"/>
  </r>
  <r>
    <x v="18"/>
    <x v="16"/>
    <x v="923"/>
  </r>
  <r>
    <x v="18"/>
    <x v="40"/>
    <x v="924"/>
  </r>
  <r>
    <x v="18"/>
    <x v="41"/>
    <x v="925"/>
  </r>
  <r>
    <x v="18"/>
    <x v="17"/>
    <x v="926"/>
  </r>
  <r>
    <x v="18"/>
    <x v="18"/>
    <x v="927"/>
  </r>
  <r>
    <x v="18"/>
    <x v="46"/>
    <x v="928"/>
  </r>
  <r>
    <x v="18"/>
    <x v="19"/>
    <x v="929"/>
  </r>
  <r>
    <x v="18"/>
    <x v="42"/>
    <x v="930"/>
  </r>
  <r>
    <x v="18"/>
    <x v="66"/>
    <x v="931"/>
  </r>
  <r>
    <x v="18"/>
    <x v="20"/>
    <x v="932"/>
  </r>
  <r>
    <x v="18"/>
    <x v="43"/>
    <x v="933"/>
  </r>
  <r>
    <x v="18"/>
    <x v="62"/>
    <x v="934"/>
  </r>
  <r>
    <x v="18"/>
    <x v="21"/>
    <x v="935"/>
  </r>
  <r>
    <x v="18"/>
    <x v="63"/>
    <x v="936"/>
  </r>
  <r>
    <x v="18"/>
    <x v="22"/>
    <x v="937"/>
  </r>
  <r>
    <x v="18"/>
    <x v="23"/>
    <x v="938"/>
  </r>
  <r>
    <x v="18"/>
    <x v="47"/>
    <x v="939"/>
  </r>
  <r>
    <x v="18"/>
    <x v="24"/>
    <x v="940"/>
  </r>
  <r>
    <x v="18"/>
    <x v="25"/>
    <x v="941"/>
  </r>
  <r>
    <x v="18"/>
    <x v="26"/>
    <x v="942"/>
  </r>
  <r>
    <x v="19"/>
    <x v="44"/>
    <x v="943"/>
  </r>
  <r>
    <x v="19"/>
    <x v="29"/>
    <x v="944"/>
  </r>
  <r>
    <x v="19"/>
    <x v="0"/>
    <x v="945"/>
  </r>
  <r>
    <x v="19"/>
    <x v="1"/>
    <x v="946"/>
  </r>
  <r>
    <x v="19"/>
    <x v="2"/>
    <x v="947"/>
  </r>
  <r>
    <x v="19"/>
    <x v="3"/>
    <x v="948"/>
  </r>
  <r>
    <x v="19"/>
    <x v="49"/>
    <x v="421"/>
  </r>
  <r>
    <x v="19"/>
    <x v="4"/>
    <x v="949"/>
  </r>
  <r>
    <x v="19"/>
    <x v="6"/>
    <x v="950"/>
  </r>
  <r>
    <x v="19"/>
    <x v="7"/>
    <x v="951"/>
  </r>
  <r>
    <x v="19"/>
    <x v="30"/>
    <x v="952"/>
  </r>
  <r>
    <x v="19"/>
    <x v="52"/>
    <x v="953"/>
  </r>
  <r>
    <x v="19"/>
    <x v="8"/>
    <x v="954"/>
  </r>
  <r>
    <x v="19"/>
    <x v="45"/>
    <x v="955"/>
  </r>
  <r>
    <x v="19"/>
    <x v="32"/>
    <x v="956"/>
  </r>
  <r>
    <x v="19"/>
    <x v="9"/>
    <x v="957"/>
  </r>
  <r>
    <x v="19"/>
    <x v="10"/>
    <x v="958"/>
  </r>
  <r>
    <x v="19"/>
    <x v="11"/>
    <x v="959"/>
  </r>
  <r>
    <x v="19"/>
    <x v="34"/>
    <x v="4"/>
  </r>
  <r>
    <x v="19"/>
    <x v="35"/>
    <x v="960"/>
  </r>
  <r>
    <x v="19"/>
    <x v="60"/>
    <x v="961"/>
  </r>
  <r>
    <x v="19"/>
    <x v="12"/>
    <x v="962"/>
  </r>
  <r>
    <x v="19"/>
    <x v="65"/>
    <x v="268"/>
  </r>
  <r>
    <x v="19"/>
    <x v="14"/>
    <x v="963"/>
  </r>
  <r>
    <x v="19"/>
    <x v="15"/>
    <x v="964"/>
  </r>
  <r>
    <x v="19"/>
    <x v="36"/>
    <x v="965"/>
  </r>
  <r>
    <x v="19"/>
    <x v="37"/>
    <x v="966"/>
  </r>
  <r>
    <x v="19"/>
    <x v="38"/>
    <x v="10"/>
  </r>
  <r>
    <x v="19"/>
    <x v="39"/>
    <x v="967"/>
  </r>
  <r>
    <x v="19"/>
    <x v="16"/>
    <x v="968"/>
  </r>
  <r>
    <x v="19"/>
    <x v="40"/>
    <x v="969"/>
  </r>
  <r>
    <x v="19"/>
    <x v="41"/>
    <x v="970"/>
  </r>
  <r>
    <x v="19"/>
    <x v="17"/>
    <x v="971"/>
  </r>
  <r>
    <x v="19"/>
    <x v="18"/>
    <x v="906"/>
  </r>
  <r>
    <x v="19"/>
    <x v="19"/>
    <x v="972"/>
  </r>
  <r>
    <x v="19"/>
    <x v="42"/>
    <x v="973"/>
  </r>
  <r>
    <x v="19"/>
    <x v="20"/>
    <x v="974"/>
  </r>
  <r>
    <x v="19"/>
    <x v="43"/>
    <x v="975"/>
  </r>
  <r>
    <x v="19"/>
    <x v="62"/>
    <x v="976"/>
  </r>
  <r>
    <x v="19"/>
    <x v="21"/>
    <x v="838"/>
  </r>
  <r>
    <x v="19"/>
    <x v="22"/>
    <x v="977"/>
  </r>
  <r>
    <x v="19"/>
    <x v="23"/>
    <x v="978"/>
  </r>
  <r>
    <x v="19"/>
    <x v="24"/>
    <x v="979"/>
  </r>
  <r>
    <x v="19"/>
    <x v="25"/>
    <x v="980"/>
  </r>
  <r>
    <x v="19"/>
    <x v="26"/>
    <x v="981"/>
  </r>
  <r>
    <x v="20"/>
    <x v="27"/>
    <x v="982"/>
  </r>
  <r>
    <x v="20"/>
    <x v="44"/>
    <x v="983"/>
  </r>
  <r>
    <x v="20"/>
    <x v="0"/>
    <x v="984"/>
  </r>
  <r>
    <x v="20"/>
    <x v="1"/>
    <x v="985"/>
  </r>
  <r>
    <x v="20"/>
    <x v="2"/>
    <x v="986"/>
  </r>
  <r>
    <x v="20"/>
    <x v="3"/>
    <x v="987"/>
  </r>
  <r>
    <x v="20"/>
    <x v="4"/>
    <x v="953"/>
  </r>
  <r>
    <x v="20"/>
    <x v="5"/>
    <x v="988"/>
  </r>
  <r>
    <x v="20"/>
    <x v="6"/>
    <x v="989"/>
  </r>
  <r>
    <x v="20"/>
    <x v="7"/>
    <x v="373"/>
  </r>
  <r>
    <x v="20"/>
    <x v="30"/>
    <x v="990"/>
  </r>
  <r>
    <x v="20"/>
    <x v="52"/>
    <x v="970"/>
  </r>
  <r>
    <x v="20"/>
    <x v="8"/>
    <x v="991"/>
  </r>
  <r>
    <x v="20"/>
    <x v="45"/>
    <x v="992"/>
  </r>
  <r>
    <x v="20"/>
    <x v="32"/>
    <x v="40"/>
  </r>
  <r>
    <x v="20"/>
    <x v="9"/>
    <x v="993"/>
  </r>
  <r>
    <x v="20"/>
    <x v="10"/>
    <x v="994"/>
  </r>
  <r>
    <x v="20"/>
    <x v="11"/>
    <x v="995"/>
  </r>
  <r>
    <x v="20"/>
    <x v="34"/>
    <x v="996"/>
  </r>
  <r>
    <x v="20"/>
    <x v="12"/>
    <x v="997"/>
  </r>
  <r>
    <x v="20"/>
    <x v="13"/>
    <x v="646"/>
  </r>
  <r>
    <x v="20"/>
    <x v="14"/>
    <x v="998"/>
  </r>
  <r>
    <x v="20"/>
    <x v="15"/>
    <x v="999"/>
  </r>
  <r>
    <x v="20"/>
    <x v="36"/>
    <x v="1000"/>
  </r>
  <r>
    <x v="20"/>
    <x v="38"/>
    <x v="1001"/>
  </r>
  <r>
    <x v="20"/>
    <x v="16"/>
    <x v="1002"/>
  </r>
  <r>
    <x v="20"/>
    <x v="40"/>
    <x v="13"/>
  </r>
  <r>
    <x v="20"/>
    <x v="17"/>
    <x v="1003"/>
  </r>
  <r>
    <x v="20"/>
    <x v="18"/>
    <x v="1004"/>
  </r>
  <r>
    <x v="20"/>
    <x v="19"/>
    <x v="1005"/>
  </r>
  <r>
    <x v="20"/>
    <x v="42"/>
    <x v="1006"/>
  </r>
  <r>
    <x v="20"/>
    <x v="20"/>
    <x v="1007"/>
  </r>
  <r>
    <x v="20"/>
    <x v="43"/>
    <x v="1008"/>
  </r>
  <r>
    <x v="20"/>
    <x v="67"/>
    <x v="1009"/>
  </r>
  <r>
    <x v="20"/>
    <x v="21"/>
    <x v="325"/>
  </r>
  <r>
    <x v="20"/>
    <x v="63"/>
    <x v="1010"/>
  </r>
  <r>
    <x v="20"/>
    <x v="22"/>
    <x v="1011"/>
  </r>
  <r>
    <x v="20"/>
    <x v="23"/>
    <x v="1012"/>
  </r>
  <r>
    <x v="20"/>
    <x v="24"/>
    <x v="1013"/>
  </r>
  <r>
    <x v="20"/>
    <x v="25"/>
    <x v="1014"/>
  </r>
  <r>
    <x v="20"/>
    <x v="26"/>
    <x v="1015"/>
  </r>
  <r>
    <x v="21"/>
    <x v="0"/>
    <x v="58"/>
  </r>
  <r>
    <x v="21"/>
    <x v="1"/>
    <x v="1016"/>
  </r>
  <r>
    <x v="21"/>
    <x v="2"/>
    <x v="1017"/>
  </r>
  <r>
    <x v="21"/>
    <x v="6"/>
    <x v="1018"/>
  </r>
  <r>
    <x v="21"/>
    <x v="8"/>
    <x v="637"/>
  </r>
  <r>
    <x v="21"/>
    <x v="9"/>
    <x v="1019"/>
  </r>
  <r>
    <x v="21"/>
    <x v="12"/>
    <x v="1020"/>
  </r>
  <r>
    <x v="21"/>
    <x v="14"/>
    <x v="786"/>
  </r>
  <r>
    <x v="21"/>
    <x v="15"/>
    <x v="1021"/>
  </r>
  <r>
    <x v="21"/>
    <x v="36"/>
    <x v="1022"/>
  </r>
  <r>
    <x v="21"/>
    <x v="42"/>
    <x v="1023"/>
  </r>
  <r>
    <x v="21"/>
    <x v="20"/>
    <x v="1024"/>
  </r>
  <r>
    <x v="21"/>
    <x v="22"/>
    <x v="1025"/>
  </r>
  <r>
    <x v="21"/>
    <x v="23"/>
    <x v="637"/>
  </r>
  <r>
    <x v="21"/>
    <x v="24"/>
    <x v="1026"/>
  </r>
  <r>
    <x v="21"/>
    <x v="26"/>
    <x v="1027"/>
  </r>
  <r>
    <x v="22"/>
    <x v="27"/>
    <x v="1028"/>
  </r>
  <r>
    <x v="22"/>
    <x v="28"/>
    <x v="1029"/>
  </r>
  <r>
    <x v="22"/>
    <x v="44"/>
    <x v="1030"/>
  </r>
  <r>
    <x v="22"/>
    <x v="29"/>
    <x v="1031"/>
  </r>
  <r>
    <x v="22"/>
    <x v="0"/>
    <x v="1032"/>
  </r>
  <r>
    <x v="22"/>
    <x v="1"/>
    <x v="1033"/>
  </r>
  <r>
    <x v="22"/>
    <x v="2"/>
    <x v="1034"/>
  </r>
  <r>
    <x v="22"/>
    <x v="3"/>
    <x v="1035"/>
  </r>
  <r>
    <x v="22"/>
    <x v="48"/>
    <x v="1036"/>
  </r>
  <r>
    <x v="22"/>
    <x v="49"/>
    <x v="1037"/>
  </r>
  <r>
    <x v="22"/>
    <x v="70"/>
    <x v="1038"/>
  </r>
  <r>
    <x v="22"/>
    <x v="4"/>
    <x v="1039"/>
  </r>
  <r>
    <x v="22"/>
    <x v="50"/>
    <x v="1040"/>
  </r>
  <r>
    <x v="22"/>
    <x v="5"/>
    <x v="1041"/>
  </r>
  <r>
    <x v="22"/>
    <x v="6"/>
    <x v="1042"/>
  </r>
  <r>
    <x v="22"/>
    <x v="7"/>
    <x v="1043"/>
  </r>
  <r>
    <x v="22"/>
    <x v="30"/>
    <x v="1044"/>
  </r>
  <r>
    <x v="22"/>
    <x v="51"/>
    <x v="1045"/>
  </r>
  <r>
    <x v="22"/>
    <x v="52"/>
    <x v="1046"/>
  </r>
  <r>
    <x v="22"/>
    <x v="8"/>
    <x v="1047"/>
  </r>
  <r>
    <x v="22"/>
    <x v="45"/>
    <x v="1048"/>
  </r>
  <r>
    <x v="22"/>
    <x v="53"/>
    <x v="1049"/>
  </r>
  <r>
    <x v="22"/>
    <x v="31"/>
    <x v="1050"/>
  </r>
  <r>
    <x v="22"/>
    <x v="32"/>
    <x v="1051"/>
  </r>
  <r>
    <x v="22"/>
    <x v="9"/>
    <x v="1052"/>
  </r>
  <r>
    <x v="22"/>
    <x v="10"/>
    <x v="1053"/>
  </r>
  <r>
    <x v="22"/>
    <x v="57"/>
    <x v="1054"/>
  </r>
  <r>
    <x v="22"/>
    <x v="11"/>
    <x v="1055"/>
  </r>
  <r>
    <x v="22"/>
    <x v="58"/>
    <x v="1056"/>
  </r>
  <r>
    <x v="22"/>
    <x v="59"/>
    <x v="1057"/>
  </r>
  <r>
    <x v="22"/>
    <x v="33"/>
    <x v="1058"/>
  </r>
  <r>
    <x v="22"/>
    <x v="68"/>
    <x v="1059"/>
  </r>
  <r>
    <x v="22"/>
    <x v="34"/>
    <x v="1060"/>
  </r>
  <r>
    <x v="22"/>
    <x v="35"/>
    <x v="268"/>
  </r>
  <r>
    <x v="22"/>
    <x v="60"/>
    <x v="1061"/>
  </r>
  <r>
    <x v="22"/>
    <x v="12"/>
    <x v="1062"/>
  </r>
  <r>
    <x v="22"/>
    <x v="13"/>
    <x v="1063"/>
  </r>
  <r>
    <x v="22"/>
    <x v="14"/>
    <x v="1064"/>
  </r>
  <r>
    <x v="22"/>
    <x v="15"/>
    <x v="1065"/>
  </r>
  <r>
    <x v="22"/>
    <x v="36"/>
    <x v="1066"/>
  </r>
  <r>
    <x v="22"/>
    <x v="37"/>
    <x v="1067"/>
  </r>
  <r>
    <x v="22"/>
    <x v="61"/>
    <x v="1068"/>
  </r>
  <r>
    <x v="22"/>
    <x v="38"/>
    <x v="1069"/>
  </r>
  <r>
    <x v="22"/>
    <x v="39"/>
    <x v="1070"/>
  </r>
  <r>
    <x v="22"/>
    <x v="16"/>
    <x v="1071"/>
  </r>
  <r>
    <x v="22"/>
    <x v="40"/>
    <x v="1072"/>
  </r>
  <r>
    <x v="22"/>
    <x v="41"/>
    <x v="1073"/>
  </r>
  <r>
    <x v="22"/>
    <x v="69"/>
    <x v="1074"/>
  </r>
  <r>
    <x v="22"/>
    <x v="17"/>
    <x v="1075"/>
  </r>
  <r>
    <x v="22"/>
    <x v="18"/>
    <x v="1076"/>
  </r>
  <r>
    <x v="22"/>
    <x v="46"/>
    <x v="418"/>
  </r>
  <r>
    <x v="22"/>
    <x v="19"/>
    <x v="1077"/>
  </r>
  <r>
    <x v="22"/>
    <x v="42"/>
    <x v="1078"/>
  </r>
  <r>
    <x v="22"/>
    <x v="66"/>
    <x v="1079"/>
  </r>
  <r>
    <x v="22"/>
    <x v="20"/>
    <x v="1080"/>
  </r>
  <r>
    <x v="22"/>
    <x v="43"/>
    <x v="1081"/>
  </r>
  <r>
    <x v="22"/>
    <x v="62"/>
    <x v="1082"/>
  </r>
  <r>
    <x v="22"/>
    <x v="21"/>
    <x v="1083"/>
  </r>
  <r>
    <x v="22"/>
    <x v="63"/>
    <x v="1084"/>
  </r>
  <r>
    <x v="22"/>
    <x v="22"/>
    <x v="1085"/>
  </r>
  <r>
    <x v="22"/>
    <x v="23"/>
    <x v="1086"/>
  </r>
  <r>
    <x v="22"/>
    <x v="47"/>
    <x v="409"/>
  </r>
  <r>
    <x v="22"/>
    <x v="24"/>
    <x v="1087"/>
  </r>
  <r>
    <x v="22"/>
    <x v="25"/>
    <x v="1088"/>
  </r>
  <r>
    <x v="22"/>
    <x v="26"/>
    <x v="1089"/>
  </r>
  <r>
    <x v="23"/>
    <x v="27"/>
    <x v="1090"/>
  </r>
  <r>
    <x v="23"/>
    <x v="28"/>
    <x v="1091"/>
  </r>
  <r>
    <x v="23"/>
    <x v="44"/>
    <x v="1092"/>
  </r>
  <r>
    <x v="23"/>
    <x v="64"/>
    <x v="1093"/>
  </r>
  <r>
    <x v="23"/>
    <x v="29"/>
    <x v="1094"/>
  </r>
  <r>
    <x v="23"/>
    <x v="0"/>
    <x v="1095"/>
  </r>
  <r>
    <x v="23"/>
    <x v="1"/>
    <x v="1096"/>
  </r>
  <r>
    <x v="23"/>
    <x v="2"/>
    <x v="1097"/>
  </r>
  <r>
    <x v="23"/>
    <x v="3"/>
    <x v="1098"/>
  </r>
  <r>
    <x v="23"/>
    <x v="48"/>
    <x v="1099"/>
  </r>
  <r>
    <x v="23"/>
    <x v="49"/>
    <x v="1100"/>
  </r>
  <r>
    <x v="23"/>
    <x v="4"/>
    <x v="1101"/>
  </r>
  <r>
    <x v="23"/>
    <x v="50"/>
    <x v="1102"/>
  </r>
  <r>
    <x v="23"/>
    <x v="5"/>
    <x v="1103"/>
  </r>
  <r>
    <x v="23"/>
    <x v="6"/>
    <x v="1104"/>
  </r>
  <r>
    <x v="23"/>
    <x v="7"/>
    <x v="1105"/>
  </r>
  <r>
    <x v="23"/>
    <x v="30"/>
    <x v="1106"/>
  </r>
  <r>
    <x v="23"/>
    <x v="51"/>
    <x v="1107"/>
  </r>
  <r>
    <x v="23"/>
    <x v="52"/>
    <x v="1108"/>
  </r>
  <r>
    <x v="23"/>
    <x v="8"/>
    <x v="1109"/>
  </r>
  <r>
    <x v="23"/>
    <x v="45"/>
    <x v="1110"/>
  </r>
  <r>
    <x v="23"/>
    <x v="53"/>
    <x v="1111"/>
  </r>
  <r>
    <x v="23"/>
    <x v="31"/>
    <x v="1112"/>
  </r>
  <r>
    <x v="23"/>
    <x v="32"/>
    <x v="1113"/>
  </r>
  <r>
    <x v="23"/>
    <x v="9"/>
    <x v="1114"/>
  </r>
  <r>
    <x v="23"/>
    <x v="55"/>
    <x v="373"/>
  </r>
  <r>
    <x v="23"/>
    <x v="10"/>
    <x v="1115"/>
  </r>
  <r>
    <x v="23"/>
    <x v="56"/>
    <x v="1116"/>
  </r>
  <r>
    <x v="23"/>
    <x v="57"/>
    <x v="1116"/>
  </r>
  <r>
    <x v="23"/>
    <x v="11"/>
    <x v="1117"/>
  </r>
  <r>
    <x v="23"/>
    <x v="58"/>
    <x v="1118"/>
  </r>
  <r>
    <x v="23"/>
    <x v="59"/>
    <x v="1119"/>
  </r>
  <r>
    <x v="23"/>
    <x v="33"/>
    <x v="1120"/>
  </r>
  <r>
    <x v="23"/>
    <x v="34"/>
    <x v="1121"/>
  </r>
  <r>
    <x v="23"/>
    <x v="35"/>
    <x v="1122"/>
  </r>
  <r>
    <x v="23"/>
    <x v="60"/>
    <x v="1123"/>
  </r>
  <r>
    <x v="23"/>
    <x v="12"/>
    <x v="1124"/>
  </r>
  <r>
    <x v="23"/>
    <x v="13"/>
    <x v="1125"/>
  </r>
  <r>
    <x v="23"/>
    <x v="65"/>
    <x v="1126"/>
  </r>
  <r>
    <x v="23"/>
    <x v="14"/>
    <x v="1127"/>
  </r>
  <r>
    <x v="23"/>
    <x v="15"/>
    <x v="1128"/>
  </r>
  <r>
    <x v="23"/>
    <x v="36"/>
    <x v="1129"/>
  </r>
  <r>
    <x v="23"/>
    <x v="37"/>
    <x v="1130"/>
  </r>
  <r>
    <x v="23"/>
    <x v="38"/>
    <x v="1131"/>
  </r>
  <r>
    <x v="23"/>
    <x v="39"/>
    <x v="1132"/>
  </r>
  <r>
    <x v="23"/>
    <x v="16"/>
    <x v="1133"/>
  </r>
  <r>
    <x v="23"/>
    <x v="40"/>
    <x v="1134"/>
  </r>
  <r>
    <x v="23"/>
    <x v="41"/>
    <x v="1135"/>
  </r>
  <r>
    <x v="23"/>
    <x v="69"/>
    <x v="1136"/>
  </r>
  <r>
    <x v="23"/>
    <x v="17"/>
    <x v="1137"/>
  </r>
  <r>
    <x v="23"/>
    <x v="18"/>
    <x v="1138"/>
  </r>
  <r>
    <x v="23"/>
    <x v="19"/>
    <x v="1139"/>
  </r>
  <r>
    <x v="23"/>
    <x v="42"/>
    <x v="1140"/>
  </r>
  <r>
    <x v="23"/>
    <x v="66"/>
    <x v="1141"/>
  </r>
  <r>
    <x v="23"/>
    <x v="20"/>
    <x v="1142"/>
  </r>
  <r>
    <x v="23"/>
    <x v="43"/>
    <x v="1143"/>
  </r>
  <r>
    <x v="23"/>
    <x v="62"/>
    <x v="1144"/>
  </r>
  <r>
    <x v="23"/>
    <x v="21"/>
    <x v="1145"/>
  </r>
  <r>
    <x v="23"/>
    <x v="63"/>
    <x v="1146"/>
  </r>
  <r>
    <x v="23"/>
    <x v="22"/>
    <x v="1147"/>
  </r>
  <r>
    <x v="23"/>
    <x v="23"/>
    <x v="1148"/>
  </r>
  <r>
    <x v="23"/>
    <x v="24"/>
    <x v="1149"/>
  </r>
  <r>
    <x v="23"/>
    <x v="25"/>
    <x v="1150"/>
  </r>
  <r>
    <x v="23"/>
    <x v="26"/>
    <x v="1151"/>
  </r>
  <r>
    <x v="24"/>
    <x v="0"/>
    <x v="1152"/>
  </r>
  <r>
    <x v="24"/>
    <x v="1"/>
    <x v="1153"/>
  </r>
  <r>
    <x v="24"/>
    <x v="2"/>
    <x v="1154"/>
  </r>
  <r>
    <x v="24"/>
    <x v="3"/>
    <x v="1155"/>
  </r>
  <r>
    <x v="24"/>
    <x v="48"/>
    <x v="1156"/>
  </r>
  <r>
    <x v="24"/>
    <x v="5"/>
    <x v="1157"/>
  </r>
  <r>
    <x v="24"/>
    <x v="6"/>
    <x v="1158"/>
  </r>
  <r>
    <x v="24"/>
    <x v="7"/>
    <x v="1159"/>
  </r>
  <r>
    <x v="24"/>
    <x v="30"/>
    <x v="1160"/>
  </r>
  <r>
    <x v="24"/>
    <x v="51"/>
    <x v="1161"/>
  </r>
  <r>
    <x v="24"/>
    <x v="52"/>
    <x v="1162"/>
  </r>
  <r>
    <x v="24"/>
    <x v="8"/>
    <x v="1163"/>
  </r>
  <r>
    <x v="24"/>
    <x v="9"/>
    <x v="1164"/>
  </r>
  <r>
    <x v="24"/>
    <x v="10"/>
    <x v="1165"/>
  </r>
  <r>
    <x v="24"/>
    <x v="33"/>
    <x v="1166"/>
  </r>
  <r>
    <x v="24"/>
    <x v="34"/>
    <x v="1167"/>
  </r>
  <r>
    <x v="24"/>
    <x v="35"/>
    <x v="1168"/>
  </r>
  <r>
    <x v="24"/>
    <x v="60"/>
    <x v="1169"/>
  </r>
  <r>
    <x v="24"/>
    <x v="12"/>
    <x v="1170"/>
  </r>
  <r>
    <x v="24"/>
    <x v="13"/>
    <x v="1171"/>
  </r>
  <r>
    <x v="24"/>
    <x v="14"/>
    <x v="1172"/>
  </r>
  <r>
    <x v="24"/>
    <x v="15"/>
    <x v="1173"/>
  </r>
  <r>
    <x v="24"/>
    <x v="36"/>
    <x v="1174"/>
  </r>
  <r>
    <x v="24"/>
    <x v="37"/>
    <x v="1175"/>
  </r>
  <r>
    <x v="24"/>
    <x v="38"/>
    <x v="1027"/>
  </r>
  <r>
    <x v="24"/>
    <x v="39"/>
    <x v="1176"/>
  </r>
  <r>
    <x v="24"/>
    <x v="16"/>
    <x v="1177"/>
  </r>
  <r>
    <x v="24"/>
    <x v="40"/>
    <x v="961"/>
  </r>
  <r>
    <x v="24"/>
    <x v="17"/>
    <x v="1178"/>
  </r>
  <r>
    <x v="24"/>
    <x v="18"/>
    <x v="1179"/>
  </r>
  <r>
    <x v="24"/>
    <x v="19"/>
    <x v="1180"/>
  </r>
  <r>
    <x v="24"/>
    <x v="42"/>
    <x v="1181"/>
  </r>
  <r>
    <x v="24"/>
    <x v="20"/>
    <x v="1182"/>
  </r>
  <r>
    <x v="24"/>
    <x v="43"/>
    <x v="1183"/>
  </r>
  <r>
    <x v="24"/>
    <x v="62"/>
    <x v="1184"/>
  </r>
  <r>
    <x v="24"/>
    <x v="21"/>
    <x v="1185"/>
  </r>
  <r>
    <x v="24"/>
    <x v="22"/>
    <x v="1186"/>
  </r>
  <r>
    <x v="24"/>
    <x v="23"/>
    <x v="1187"/>
  </r>
  <r>
    <x v="24"/>
    <x v="24"/>
    <x v="1188"/>
  </r>
  <r>
    <x v="24"/>
    <x v="25"/>
    <x v="1189"/>
  </r>
  <r>
    <x v="24"/>
    <x v="26"/>
    <x v="1190"/>
  </r>
  <r>
    <x v="25"/>
    <x v="27"/>
    <x v="1191"/>
  </r>
  <r>
    <x v="25"/>
    <x v="28"/>
    <x v="1192"/>
  </r>
  <r>
    <x v="25"/>
    <x v="44"/>
    <x v="1193"/>
  </r>
  <r>
    <x v="25"/>
    <x v="64"/>
    <x v="1194"/>
  </r>
  <r>
    <x v="25"/>
    <x v="29"/>
    <x v="1195"/>
  </r>
  <r>
    <x v="25"/>
    <x v="0"/>
    <x v="1196"/>
  </r>
  <r>
    <x v="25"/>
    <x v="1"/>
    <x v="1197"/>
  </r>
  <r>
    <x v="25"/>
    <x v="2"/>
    <x v="1198"/>
  </r>
  <r>
    <x v="25"/>
    <x v="3"/>
    <x v="1199"/>
  </r>
  <r>
    <x v="25"/>
    <x v="48"/>
    <x v="1200"/>
  </r>
  <r>
    <x v="25"/>
    <x v="49"/>
    <x v="1201"/>
  </r>
  <r>
    <x v="25"/>
    <x v="70"/>
    <x v="1202"/>
  </r>
  <r>
    <x v="25"/>
    <x v="4"/>
    <x v="1203"/>
  </r>
  <r>
    <x v="25"/>
    <x v="50"/>
    <x v="1204"/>
  </r>
  <r>
    <x v="25"/>
    <x v="5"/>
    <x v="1205"/>
  </r>
  <r>
    <x v="25"/>
    <x v="6"/>
    <x v="1206"/>
  </r>
  <r>
    <x v="25"/>
    <x v="7"/>
    <x v="1207"/>
  </r>
  <r>
    <x v="25"/>
    <x v="30"/>
    <x v="1208"/>
  </r>
  <r>
    <x v="25"/>
    <x v="51"/>
    <x v="1209"/>
  </r>
  <r>
    <x v="25"/>
    <x v="52"/>
    <x v="1210"/>
  </r>
  <r>
    <x v="25"/>
    <x v="8"/>
    <x v="1211"/>
  </r>
  <r>
    <x v="25"/>
    <x v="45"/>
    <x v="1212"/>
  </r>
  <r>
    <x v="25"/>
    <x v="53"/>
    <x v="1213"/>
  </r>
  <r>
    <x v="25"/>
    <x v="54"/>
    <x v="1214"/>
  </r>
  <r>
    <x v="25"/>
    <x v="31"/>
    <x v="1215"/>
  </r>
  <r>
    <x v="25"/>
    <x v="32"/>
    <x v="1216"/>
  </r>
  <r>
    <x v="25"/>
    <x v="9"/>
    <x v="1217"/>
  </r>
  <r>
    <x v="25"/>
    <x v="55"/>
    <x v="1218"/>
  </r>
  <r>
    <x v="25"/>
    <x v="10"/>
    <x v="1219"/>
  </r>
  <r>
    <x v="25"/>
    <x v="56"/>
    <x v="1220"/>
  </r>
  <r>
    <x v="25"/>
    <x v="57"/>
    <x v="1221"/>
  </r>
  <r>
    <x v="25"/>
    <x v="11"/>
    <x v="1222"/>
  </r>
  <r>
    <x v="25"/>
    <x v="58"/>
    <x v="1223"/>
  </r>
  <r>
    <x v="25"/>
    <x v="59"/>
    <x v="1224"/>
  </r>
  <r>
    <x v="25"/>
    <x v="33"/>
    <x v="1225"/>
  </r>
  <r>
    <x v="25"/>
    <x v="68"/>
    <x v="1226"/>
  </r>
  <r>
    <x v="25"/>
    <x v="34"/>
    <x v="1227"/>
  </r>
  <r>
    <x v="25"/>
    <x v="35"/>
    <x v="1228"/>
  </r>
  <r>
    <x v="25"/>
    <x v="60"/>
    <x v="1229"/>
  </r>
  <r>
    <x v="25"/>
    <x v="12"/>
    <x v="1230"/>
  </r>
  <r>
    <x v="25"/>
    <x v="13"/>
    <x v="1231"/>
  </r>
  <r>
    <x v="25"/>
    <x v="65"/>
    <x v="1232"/>
  </r>
  <r>
    <x v="25"/>
    <x v="14"/>
    <x v="1233"/>
  </r>
  <r>
    <x v="25"/>
    <x v="15"/>
    <x v="1234"/>
  </r>
  <r>
    <x v="25"/>
    <x v="36"/>
    <x v="1235"/>
  </r>
  <r>
    <x v="25"/>
    <x v="37"/>
    <x v="1236"/>
  </r>
  <r>
    <x v="25"/>
    <x v="61"/>
    <x v="1237"/>
  </r>
  <r>
    <x v="25"/>
    <x v="38"/>
    <x v="1238"/>
  </r>
  <r>
    <x v="25"/>
    <x v="39"/>
    <x v="1239"/>
  </r>
  <r>
    <x v="25"/>
    <x v="16"/>
    <x v="1240"/>
  </r>
  <r>
    <x v="25"/>
    <x v="40"/>
    <x v="1241"/>
  </r>
  <r>
    <x v="25"/>
    <x v="41"/>
    <x v="1242"/>
  </r>
  <r>
    <x v="25"/>
    <x v="69"/>
    <x v="1243"/>
  </r>
  <r>
    <x v="25"/>
    <x v="17"/>
    <x v="1244"/>
  </r>
  <r>
    <x v="25"/>
    <x v="18"/>
    <x v="1245"/>
  </r>
  <r>
    <x v="25"/>
    <x v="46"/>
    <x v="1246"/>
  </r>
  <r>
    <x v="25"/>
    <x v="19"/>
    <x v="1247"/>
  </r>
  <r>
    <x v="25"/>
    <x v="42"/>
    <x v="1248"/>
  </r>
  <r>
    <x v="25"/>
    <x v="66"/>
    <x v="1249"/>
  </r>
  <r>
    <x v="25"/>
    <x v="20"/>
    <x v="1250"/>
  </r>
  <r>
    <x v="25"/>
    <x v="43"/>
    <x v="1251"/>
  </r>
  <r>
    <x v="25"/>
    <x v="62"/>
    <x v="1252"/>
  </r>
  <r>
    <x v="25"/>
    <x v="21"/>
    <x v="1253"/>
  </r>
  <r>
    <x v="25"/>
    <x v="63"/>
    <x v="1254"/>
  </r>
  <r>
    <x v="25"/>
    <x v="22"/>
    <x v="1255"/>
  </r>
  <r>
    <x v="25"/>
    <x v="23"/>
    <x v="1256"/>
  </r>
  <r>
    <x v="25"/>
    <x v="47"/>
    <x v="1257"/>
  </r>
  <r>
    <x v="25"/>
    <x v="24"/>
    <x v="1258"/>
  </r>
  <r>
    <x v="25"/>
    <x v="25"/>
    <x v="1259"/>
  </r>
  <r>
    <x v="25"/>
    <x v="26"/>
    <x v="1260"/>
  </r>
  <r>
    <x v="26"/>
    <x v="29"/>
    <x v="1261"/>
  </r>
  <r>
    <x v="26"/>
    <x v="0"/>
    <x v="1262"/>
  </r>
  <r>
    <x v="26"/>
    <x v="1"/>
    <x v="1263"/>
  </r>
  <r>
    <x v="26"/>
    <x v="2"/>
    <x v="1264"/>
  </r>
  <r>
    <x v="26"/>
    <x v="3"/>
    <x v="1265"/>
  </r>
  <r>
    <x v="26"/>
    <x v="49"/>
    <x v="1266"/>
  </r>
  <r>
    <x v="26"/>
    <x v="5"/>
    <x v="5"/>
  </r>
  <r>
    <x v="26"/>
    <x v="6"/>
    <x v="1267"/>
  </r>
  <r>
    <x v="26"/>
    <x v="7"/>
    <x v="1268"/>
  </r>
  <r>
    <x v="26"/>
    <x v="51"/>
    <x v="1269"/>
  </r>
  <r>
    <x v="26"/>
    <x v="8"/>
    <x v="1270"/>
  </r>
  <r>
    <x v="26"/>
    <x v="9"/>
    <x v="1271"/>
  </r>
  <r>
    <x v="26"/>
    <x v="10"/>
    <x v="1272"/>
  </r>
  <r>
    <x v="26"/>
    <x v="11"/>
    <x v="793"/>
  </r>
  <r>
    <x v="26"/>
    <x v="33"/>
    <x v="1273"/>
  </r>
  <r>
    <x v="26"/>
    <x v="12"/>
    <x v="1274"/>
  </r>
  <r>
    <x v="26"/>
    <x v="13"/>
    <x v="1275"/>
  </r>
  <r>
    <x v="26"/>
    <x v="14"/>
    <x v="1276"/>
  </r>
  <r>
    <x v="26"/>
    <x v="15"/>
    <x v="1277"/>
  </r>
  <r>
    <x v="26"/>
    <x v="36"/>
    <x v="1278"/>
  </r>
  <r>
    <x v="26"/>
    <x v="37"/>
    <x v="1279"/>
  </r>
  <r>
    <x v="26"/>
    <x v="38"/>
    <x v="536"/>
  </r>
  <r>
    <x v="26"/>
    <x v="39"/>
    <x v="13"/>
  </r>
  <r>
    <x v="26"/>
    <x v="16"/>
    <x v="1280"/>
  </r>
  <r>
    <x v="26"/>
    <x v="40"/>
    <x v="1281"/>
  </r>
  <r>
    <x v="26"/>
    <x v="41"/>
    <x v="748"/>
  </r>
  <r>
    <x v="26"/>
    <x v="17"/>
    <x v="1282"/>
  </r>
  <r>
    <x v="26"/>
    <x v="18"/>
    <x v="18"/>
  </r>
  <r>
    <x v="26"/>
    <x v="19"/>
    <x v="19"/>
  </r>
  <r>
    <x v="26"/>
    <x v="42"/>
    <x v="1283"/>
  </r>
  <r>
    <x v="26"/>
    <x v="20"/>
    <x v="1284"/>
  </r>
  <r>
    <x v="26"/>
    <x v="43"/>
    <x v="1285"/>
  </r>
  <r>
    <x v="26"/>
    <x v="63"/>
    <x v="1010"/>
  </r>
  <r>
    <x v="26"/>
    <x v="22"/>
    <x v="1286"/>
  </r>
  <r>
    <x v="26"/>
    <x v="23"/>
    <x v="1287"/>
  </r>
  <r>
    <x v="26"/>
    <x v="24"/>
    <x v="1288"/>
  </r>
  <r>
    <x v="26"/>
    <x v="25"/>
    <x v="1289"/>
  </r>
  <r>
    <x v="26"/>
    <x v="26"/>
    <x v="1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6C2A9-39B9-9544-9195-C5A800C067BA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75" firstHeaderRow="1" firstDataRow="1" firstDataCol="1" rowPageCount="1" colPageCount="1"/>
  <pivotFields count="3">
    <pivotField name="Customer State" axis="axisPage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Row" showAll="0" sortType="descending">
      <items count="72">
        <item x="26"/>
        <item x="25"/>
        <item x="24"/>
        <item x="47"/>
        <item x="23"/>
        <item x="22"/>
        <item x="63"/>
        <item x="21"/>
        <item x="62"/>
        <item x="67"/>
        <item x="43"/>
        <item x="20"/>
        <item x="66"/>
        <item x="42"/>
        <item x="19"/>
        <item x="46"/>
        <item x="18"/>
        <item x="17"/>
        <item x="69"/>
        <item x="41"/>
        <item x="40"/>
        <item x="16"/>
        <item x="39"/>
        <item x="38"/>
        <item x="61"/>
        <item x="37"/>
        <item x="36"/>
        <item x="15"/>
        <item x="14"/>
        <item x="65"/>
        <item x="13"/>
        <item x="12"/>
        <item x="60"/>
        <item x="35"/>
        <item x="34"/>
        <item x="68"/>
        <item x="33"/>
        <item x="59"/>
        <item x="58"/>
        <item x="11"/>
        <item x="57"/>
        <item x="56"/>
        <item x="10"/>
        <item x="55"/>
        <item x="9"/>
        <item x="32"/>
        <item x="31"/>
        <item x="54"/>
        <item x="53"/>
        <item x="45"/>
        <item x="8"/>
        <item x="52"/>
        <item x="51"/>
        <item x="30"/>
        <item x="7"/>
        <item x="6"/>
        <item x="5"/>
        <item x="50"/>
        <item x="4"/>
        <item x="70"/>
        <item x="49"/>
        <item x="48"/>
        <item x="3"/>
        <item x="2"/>
        <item x="1"/>
        <item x="0"/>
        <item x="29"/>
        <item x="64"/>
        <item x="44"/>
        <item x="28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>
      <items count="1292">
        <item x="544"/>
        <item x="165"/>
        <item x="39"/>
        <item x="92"/>
        <item x="956"/>
        <item x="1167"/>
        <item x="554"/>
        <item x="597"/>
        <item x="949"/>
        <item x="373"/>
        <item x="82"/>
        <item x="40"/>
        <item x="1099"/>
        <item x="260"/>
        <item x="790"/>
        <item x="647"/>
        <item x="1019"/>
        <item x="433"/>
        <item x="644"/>
        <item x="207"/>
        <item x="552"/>
        <item x="1265"/>
        <item x="551"/>
        <item x="741"/>
        <item x="599"/>
        <item x="535"/>
        <item x="680"/>
        <item x="19"/>
        <item x="145"/>
        <item x="503"/>
        <item x="1005"/>
        <item x="481"/>
        <item x="402"/>
        <item x="46"/>
        <item x="586"/>
        <item x="1113"/>
        <item x="987"/>
        <item x="695"/>
        <item x="79"/>
        <item x="336"/>
        <item x="664"/>
        <item x="423"/>
        <item x="297"/>
        <item x="1056"/>
        <item x="427"/>
        <item x="99"/>
        <item x="280"/>
        <item x="626"/>
        <item x="920"/>
        <item x="21"/>
        <item x="69"/>
        <item x="80"/>
        <item x="118"/>
        <item x="1156"/>
        <item x="432"/>
        <item x="203"/>
        <item x="33"/>
        <item x="341"/>
        <item x="18"/>
        <item x="390"/>
        <item x="656"/>
        <item x="148"/>
        <item x="421"/>
        <item x="1281"/>
        <item x="4"/>
        <item x="1166"/>
        <item x="581"/>
        <item x="262"/>
        <item x="976"/>
        <item x="1059"/>
        <item x="132"/>
        <item x="766"/>
        <item x="322"/>
        <item x="1162"/>
        <item x="682"/>
        <item x="13"/>
        <item x="943"/>
        <item x="1174"/>
        <item x="385"/>
        <item x="109"/>
        <item x="562"/>
        <item x="73"/>
        <item x="982"/>
        <item x="68"/>
        <item x="745"/>
        <item x="1116"/>
        <item x="10"/>
        <item x="150"/>
        <item x="435"/>
        <item x="1122"/>
        <item x="202"/>
        <item x="95"/>
        <item x="305"/>
        <item x="492"/>
        <item x="839"/>
        <item x="996"/>
        <item x="409"/>
        <item x="325"/>
        <item x="245"/>
        <item x="8"/>
        <item x="286"/>
        <item x="992"/>
        <item x="1026"/>
        <item x="436"/>
        <item x="841"/>
        <item x="648"/>
        <item x="420"/>
        <item x="697"/>
        <item x="1068"/>
        <item x="320"/>
        <item x="681"/>
        <item x="316"/>
        <item x="422"/>
        <item x="566"/>
        <item x="362"/>
        <item x="1126"/>
        <item x="1168"/>
        <item x="1175"/>
        <item x="782"/>
        <item x="255"/>
        <item x="826"/>
        <item x="153"/>
        <item x="445"/>
        <item x="304"/>
        <item x="748"/>
        <item x="237"/>
        <item x="906"/>
        <item x="257"/>
        <item x="637"/>
        <item x="528"/>
        <item x="78"/>
        <item x="781"/>
        <item x="1155"/>
        <item x="335"/>
        <item x="1036"/>
        <item x="396"/>
        <item x="953"/>
        <item x="646"/>
        <item x="222"/>
        <item x="699"/>
        <item x="1278"/>
        <item x="56"/>
        <item x="104"/>
        <item x="261"/>
        <item x="601"/>
        <item x="1271"/>
        <item x="983"/>
        <item x="638"/>
        <item x="671"/>
        <item x="83"/>
        <item x="1004"/>
        <item x="969"/>
        <item x="204"/>
        <item x="794"/>
        <item x="455"/>
        <item x="1051"/>
        <item x="382"/>
        <item x="653"/>
        <item x="194"/>
        <item x="955"/>
        <item x="1118"/>
        <item x="995"/>
        <item x="631"/>
        <item x="1184"/>
        <item x="534"/>
        <item x="636"/>
        <item x="1183"/>
        <item x="1261"/>
        <item x="555"/>
        <item x="658"/>
        <item x="91"/>
        <item x="543"/>
        <item x="654"/>
        <item x="1009"/>
        <item x="686"/>
        <item x="94"/>
        <item x="944"/>
        <item x="45"/>
        <item x="596"/>
        <item x="828"/>
        <item x="87"/>
        <item x="529"/>
        <item x="808"/>
        <item x="899"/>
        <item x="360"/>
        <item x="575"/>
        <item x="55"/>
        <item x="793"/>
        <item x="545"/>
        <item x="170"/>
        <item x="1266"/>
        <item x="375"/>
        <item x="434"/>
        <item x="51"/>
        <item x="1187"/>
        <item x="701"/>
        <item x="786"/>
        <item x="84"/>
        <item x="796"/>
        <item x="1027"/>
        <item x="798"/>
        <item x="58"/>
        <item x="776"/>
        <item x="1038"/>
        <item x="690"/>
        <item x="42"/>
        <item x="1001"/>
        <item x="1161"/>
        <item x="533"/>
        <item x="283"/>
        <item x="112"/>
        <item x="1110"/>
        <item x="25"/>
        <item x="120"/>
        <item x="753"/>
        <item x="777"/>
        <item x="114"/>
        <item x="1024"/>
        <item x="993"/>
        <item x="1275"/>
        <item x="221"/>
        <item x="268"/>
        <item x="208"/>
        <item x="662"/>
        <item x="428"/>
        <item x="961"/>
        <item x="560"/>
        <item x="909"/>
        <item x="651"/>
        <item x="1141"/>
        <item x="1000"/>
        <item x="452"/>
        <item x="489"/>
        <item x="846"/>
        <item x="509"/>
        <item x="838"/>
        <item x="483"/>
        <item x="1169"/>
        <item x="113"/>
        <item x="193"/>
        <item x="870"/>
        <item x="1269"/>
        <item x="761"/>
        <item x="7"/>
        <item x="1287"/>
        <item x="725"/>
        <item x="792"/>
        <item x="847"/>
        <item x="1220"/>
        <item x="572"/>
        <item x="614"/>
        <item x="1093"/>
        <item x="1178"/>
        <item x="1023"/>
        <item x="931"/>
        <item x="211"/>
        <item x="254"/>
        <item x="850"/>
        <item x="829"/>
        <item x="117"/>
        <item x="11"/>
        <item x="787"/>
        <item x="122"/>
        <item x="418"/>
        <item x="971"/>
        <item x="789"/>
        <item x="587"/>
        <item x="20"/>
        <item x="121"/>
        <item x="395"/>
        <item x="801"/>
        <item x="377"/>
        <item x="694"/>
        <item x="795"/>
        <item x="264"/>
        <item x="324"/>
        <item x="244"/>
        <item x="731"/>
        <item x="110"/>
        <item x="135"/>
        <item x="867"/>
        <item x="774"/>
        <item x="279"/>
        <item x="1268"/>
        <item x="370"/>
        <item x="1272"/>
        <item x="1285"/>
        <item x="970"/>
        <item x="41"/>
        <item x="43"/>
        <item x="218"/>
        <item x="210"/>
        <item x="17"/>
        <item x="1282"/>
        <item x="1202"/>
        <item x="960"/>
        <item x="571"/>
        <item x="1079"/>
        <item x="361"/>
        <item x="675"/>
        <item x="468"/>
        <item x="59"/>
        <item x="1119"/>
        <item x="957"/>
        <item x="209"/>
        <item x="732"/>
        <item x="96"/>
        <item x="430"/>
        <item x="553"/>
        <item x="737"/>
        <item x="372"/>
        <item x="398"/>
        <item x="90"/>
        <item x="1057"/>
        <item x="381"/>
        <item x="959"/>
        <item x="89"/>
        <item x="710"/>
        <item x="354"/>
        <item x="380"/>
        <item x="972"/>
        <item x="253"/>
        <item x="557"/>
        <item x="901"/>
        <item x="1092"/>
        <item x="712"/>
        <item x="76"/>
        <item x="1074"/>
        <item x="965"/>
        <item x="1061"/>
        <item x="1226"/>
        <item x="93"/>
        <item x="726"/>
        <item x="550"/>
        <item x="295"/>
        <item x="318"/>
        <item x="187"/>
        <item x="546"/>
        <item x="967"/>
        <item x="186"/>
        <item x="1237"/>
        <item x="379"/>
        <item x="169"/>
        <item x="1165"/>
        <item x="235"/>
        <item x="1018"/>
        <item x="538"/>
        <item x="775"/>
        <item x="604"/>
        <item x="703"/>
        <item x="485"/>
        <item x="602"/>
        <item x="1039"/>
        <item x="666"/>
        <item x="9"/>
        <item x="643"/>
        <item x="462"/>
        <item x="312"/>
        <item x="116"/>
        <item x="886"/>
        <item x="146"/>
        <item x="1136"/>
        <item x="471"/>
        <item x="1084"/>
        <item x="1111"/>
        <item x="803"/>
        <item x="182"/>
        <item x="1181"/>
        <item x="265"/>
        <item x="263"/>
        <item x="16"/>
        <item x="313"/>
        <item x="606"/>
        <item x="251"/>
        <item x="273"/>
        <item x="1002"/>
        <item x="527"/>
        <item x="889"/>
        <item x="23"/>
        <item x="679"/>
        <item x="579"/>
        <item x="1179"/>
        <item x="28"/>
        <item x="0"/>
        <item x="652"/>
        <item x="549"/>
        <item x="314"/>
        <item x="29"/>
        <item x="157"/>
        <item x="998"/>
        <item x="224"/>
        <item x="864"/>
        <item x="413"/>
        <item x="498"/>
        <item x="236"/>
        <item x="2"/>
        <item x="632"/>
        <item x="655"/>
        <item x="750"/>
        <item x="580"/>
        <item x="144"/>
        <item x="691"/>
        <item x="103"/>
        <item x="1020"/>
        <item x="536"/>
        <item x="802"/>
        <item x="1091"/>
        <item x="693"/>
        <item x="213"/>
        <item x="746"/>
        <item x="111"/>
        <item x="1017"/>
        <item x="1030"/>
        <item x="1144"/>
        <item x="888"/>
        <item x="368"/>
        <item x="287"/>
        <item x="14"/>
        <item x="807"/>
        <item x="53"/>
        <item x="994"/>
        <item x="3"/>
        <item x="154"/>
        <item x="1054"/>
        <item x="77"/>
        <item x="768"/>
        <item x="730"/>
        <item x="837"/>
        <item x="593"/>
        <item x="661"/>
        <item x="849"/>
        <item x="64"/>
        <item x="71"/>
        <item x="615"/>
        <item x="617"/>
        <item x="600"/>
        <item x="158"/>
        <item x="1013"/>
        <item x="345"/>
        <item x="106"/>
        <item x="582"/>
        <item x="747"/>
        <item x="447"/>
        <item x="243"/>
        <item x="588"/>
        <item x="72"/>
        <item x="512"/>
        <item x="442"/>
        <item x="611"/>
        <item x="1"/>
        <item x="98"/>
        <item x="81"/>
        <item x="639"/>
        <item x="134"/>
        <item x="820"/>
        <item x="443"/>
        <item x="388"/>
        <item x="1135"/>
        <item x="133"/>
        <item x="101"/>
        <item x="1012"/>
        <item x="70"/>
        <item x="177"/>
        <item x="1060"/>
        <item x="31"/>
        <item x="1243"/>
        <item x="48"/>
        <item x="44"/>
        <item x="414"/>
        <item x="603"/>
        <item x="568"/>
        <item x="1055"/>
        <item x="140"/>
        <item x="1121"/>
        <item x="419"/>
        <item x="289"/>
        <item x="1117"/>
        <item x="88"/>
        <item x="518"/>
        <item x="100"/>
        <item x="561"/>
        <item x="1160"/>
        <item x="319"/>
        <item x="767"/>
        <item x="716"/>
        <item x="250"/>
        <item x="274"/>
        <item x="1123"/>
        <item x="119"/>
        <item x="610"/>
        <item x="804"/>
        <item x="1040"/>
        <item x="338"/>
        <item x="125"/>
        <item x="451"/>
        <item x="152"/>
        <item x="523"/>
        <item x="374"/>
        <item x="344"/>
        <item x="1182"/>
        <item x="1171"/>
        <item x="689"/>
        <item x="806"/>
        <item x="199"/>
        <item x="1176"/>
        <item x="1112"/>
        <item x="1101"/>
        <item x="296"/>
        <item x="126"/>
        <item x="188"/>
        <item x="540"/>
        <item x="1194"/>
        <item x="939"/>
        <item x="1037"/>
        <item x="863"/>
        <item x="1223"/>
        <item x="353"/>
        <item x="259"/>
        <item x="1022"/>
        <item x="707"/>
        <item x="754"/>
        <item x="151"/>
        <item x="323"/>
        <item x="904"/>
        <item x="755"/>
        <item x="1100"/>
        <item x="1008"/>
        <item x="367"/>
        <item x="598"/>
        <item x="1016"/>
        <item x="156"/>
        <item x="740"/>
        <item x="57"/>
        <item x="713"/>
        <item x="60"/>
        <item x="1264"/>
        <item x="310"/>
        <item x="1048"/>
        <item x="738"/>
        <item x="1279"/>
        <item x="131"/>
        <item x="928"/>
        <item x="915"/>
        <item x="54"/>
        <item x="609"/>
        <item x="378"/>
        <item x="348"/>
        <item x="548"/>
        <item x="717"/>
        <item x="1021"/>
        <item x="759"/>
        <item x="66"/>
        <item x="844"/>
        <item x="594"/>
        <item x="711"/>
        <item x="845"/>
        <item x="1090"/>
        <item x="490"/>
        <item x="405"/>
        <item x="898"/>
        <item x="1050"/>
        <item x="612"/>
        <item x="249"/>
        <item x="1214"/>
        <item x="1006"/>
        <item x="1189"/>
        <item x="515"/>
        <item x="24"/>
        <item x="1164"/>
        <item x="1102"/>
        <item x="630"/>
        <item x="391"/>
        <item x="1049"/>
        <item x="330"/>
        <item x="303"/>
        <item x="616"/>
        <item x="228"/>
        <item x="331"/>
        <item x="698"/>
        <item x="399"/>
        <item x="166"/>
        <item x="1046"/>
        <item x="1003"/>
        <item x="714"/>
        <item x="37"/>
        <item x="298"/>
        <item x="5"/>
        <item x="446"/>
        <item x="1276"/>
        <item x="860"/>
        <item x="814"/>
        <item x="105"/>
        <item x="744"/>
        <item x="1283"/>
        <item x="366"/>
        <item x="491"/>
        <item x="973"/>
        <item x="242"/>
        <item x="1177"/>
        <item x="1288"/>
        <item x="470"/>
        <item x="276"/>
        <item x="1280"/>
        <item x="6"/>
        <item x="1007"/>
        <item x="441"/>
        <item x="12"/>
        <item x="277"/>
        <item x="591"/>
        <item x="426"/>
        <item x="74"/>
        <item x="756"/>
        <item x="1025"/>
        <item x="192"/>
        <item x="907"/>
        <item x="97"/>
        <item x="565"/>
        <item x="461"/>
        <item x="990"/>
        <item x="115"/>
        <item x="384"/>
        <item x="809"/>
        <item x="810"/>
        <item x="15"/>
        <item x="984"/>
        <item x="26"/>
        <item x="1273"/>
        <item x="1082"/>
        <item x="812"/>
        <item x="267"/>
        <item x="563"/>
        <item x="394"/>
        <item x="127"/>
        <item x="948"/>
        <item x="107"/>
        <item x="966"/>
        <item x="327"/>
        <item x="791"/>
        <item x="1153"/>
        <item x="1138"/>
        <item x="1218"/>
        <item x="840"/>
        <item x="958"/>
        <item x="454"/>
        <item x="1134"/>
        <item x="400"/>
        <item x="576"/>
        <item x="27"/>
        <item x="1185"/>
        <item x="1107"/>
        <item x="547"/>
        <item x="797"/>
        <item x="665"/>
        <item x="438"/>
        <item x="758"/>
        <item x="487"/>
        <item x="389"/>
        <item x="332"/>
        <item x="997"/>
        <item x="143"/>
        <item x="179"/>
        <item x="219"/>
        <item x="1249"/>
        <item x="1094"/>
        <item x="302"/>
        <item x="887"/>
        <item x="1131"/>
        <item x="397"/>
        <item x="760"/>
        <item x="857"/>
        <item x="123"/>
        <item x="49"/>
        <item x="951"/>
        <item x="952"/>
        <item x="785"/>
        <item x="507"/>
        <item x="22"/>
        <item x="216"/>
        <item x="848"/>
        <item x="1029"/>
        <item x="1180"/>
        <item x="539"/>
        <item x="480"/>
        <item x="574"/>
        <item x="1159"/>
        <item x="986"/>
        <item x="667"/>
        <item x="827"/>
        <item x="61"/>
        <item x="198"/>
        <item x="569"/>
        <item x="271"/>
        <item x="1284"/>
        <item x="102"/>
        <item x="1154"/>
        <item x="700"/>
        <item x="1289"/>
        <item x="968"/>
        <item x="1098"/>
        <item x="469"/>
        <item x="494"/>
        <item x="1120"/>
        <item x="482"/>
        <item x="75"/>
        <item x="980"/>
        <item x="1073"/>
        <item x="742"/>
        <item x="355"/>
        <item x="1076"/>
        <item x="670"/>
        <item x="85"/>
        <item x="811"/>
        <item x="201"/>
        <item x="1010"/>
        <item x="684"/>
        <item x="431"/>
        <item x="642"/>
        <item x="32"/>
        <item x="1204"/>
        <item x="1274"/>
        <item x="238"/>
        <item x="34"/>
        <item x="852"/>
        <item x="164"/>
        <item x="834"/>
        <item x="359"/>
        <item x="718"/>
        <item x="989"/>
        <item x="1232"/>
        <item x="1246"/>
        <item x="650"/>
        <item x="248"/>
        <item x="493"/>
        <item x="720"/>
        <item x="1125"/>
        <item x="172"/>
        <item x="1203"/>
        <item x="333"/>
        <item x="108"/>
        <item x="343"/>
        <item x="439"/>
        <item x="1263"/>
        <item x="835"/>
        <item x="541"/>
        <item x="62"/>
        <item x="985"/>
        <item x="495"/>
        <item x="1031"/>
        <item x="1045"/>
        <item x="124"/>
        <item x="352"/>
        <item x="975"/>
        <item x="706"/>
        <item x="946"/>
        <item x="743"/>
        <item x="52"/>
        <item x="783"/>
        <item x="1188"/>
        <item x="1152"/>
        <item x="905"/>
        <item x="444"/>
        <item x="141"/>
        <item x="365"/>
        <item x="715"/>
        <item x="1058"/>
        <item x="1262"/>
        <item x="479"/>
        <item x="991"/>
        <item x="708"/>
        <item x="934"/>
        <item x="1257"/>
        <item x="256"/>
        <item x="1200"/>
        <item x="160"/>
        <item x="674"/>
        <item x="988"/>
        <item x="1157"/>
        <item x="38"/>
        <item x="805"/>
        <item x="371"/>
        <item x="281"/>
        <item x="1035"/>
        <item x="337"/>
        <item x="570"/>
        <item x="696"/>
        <item x="736"/>
        <item x="217"/>
        <item x="167"/>
        <item x="206"/>
        <item x="392"/>
        <item x="406"/>
        <item x="36"/>
        <item x="309"/>
        <item x="272"/>
        <item x="895"/>
        <item x="163"/>
        <item x="858"/>
        <item x="86"/>
        <item x="278"/>
        <item x="950"/>
        <item x="910"/>
        <item x="911"/>
        <item x="511"/>
        <item x="620"/>
        <item x="821"/>
        <item x="1108"/>
        <item x="765"/>
        <item x="963"/>
        <item x="815"/>
        <item x="649"/>
        <item x="589"/>
        <item x="1190"/>
        <item x="622"/>
        <item x="621"/>
        <item x="927"/>
        <item x="974"/>
        <item x="880"/>
        <item x="1069"/>
        <item x="282"/>
        <item x="825"/>
        <item x="1129"/>
        <item x="1014"/>
        <item x="625"/>
        <item x="1186"/>
        <item x="924"/>
        <item x="1072"/>
        <item x="1028"/>
        <item x="376"/>
        <item x="401"/>
        <item x="721"/>
        <item x="231"/>
        <item x="592"/>
        <item x="962"/>
        <item x="894"/>
        <item x="225"/>
        <item x="457"/>
        <item x="488"/>
        <item x="947"/>
        <item x="640"/>
        <item x="1011"/>
        <item x="709"/>
        <item x="819"/>
        <item x="672"/>
        <item x="978"/>
        <item x="722"/>
        <item x="223"/>
        <item x="1270"/>
        <item x="171"/>
        <item x="861"/>
        <item x="627"/>
        <item x="448"/>
        <item x="788"/>
        <item x="685"/>
        <item x="623"/>
        <item x="635"/>
        <item x="763"/>
        <item x="308"/>
        <item x="363"/>
        <item x="1172"/>
        <item x="317"/>
        <item x="912"/>
        <item x="567"/>
        <item x="1063"/>
        <item x="613"/>
        <item x="197"/>
        <item x="1224"/>
        <item x="47"/>
        <item x="449"/>
        <item x="315"/>
        <item x="619"/>
        <item x="258"/>
        <item x="799"/>
        <item x="63"/>
        <item x="205"/>
        <item x="780"/>
        <item x="954"/>
        <item x="816"/>
        <item x="618"/>
        <item x="677"/>
        <item x="178"/>
        <item x="1132"/>
        <item x="508"/>
        <item x="936"/>
        <item x="417"/>
        <item x="577"/>
        <item x="1158"/>
        <item x="977"/>
        <item x="668"/>
        <item x="155"/>
        <item x="683"/>
        <item x="945"/>
        <item x="1170"/>
        <item x="138"/>
        <item x="885"/>
        <item x="1216"/>
        <item x="779"/>
        <item x="1221"/>
        <item x="1267"/>
        <item x="460"/>
        <item x="1105"/>
        <item x="450"/>
        <item x="702"/>
        <item x="467"/>
        <item x="669"/>
        <item x="65"/>
        <item x="770"/>
        <item x="190"/>
        <item x="1015"/>
        <item x="437"/>
        <item x="30"/>
        <item x="408"/>
        <item x="139"/>
        <item x="531"/>
        <item x="663"/>
        <item x="520"/>
        <item x="404"/>
        <item x="226"/>
        <item x="1146"/>
        <item x="1277"/>
        <item x="291"/>
        <item x="818"/>
        <item x="728"/>
        <item x="1106"/>
        <item x="719"/>
        <item x="456"/>
        <item x="285"/>
        <item x="229"/>
        <item x="558"/>
        <item x="1286"/>
        <item x="340"/>
        <item x="339"/>
        <item x="416"/>
        <item x="784"/>
        <item x="415"/>
        <item x="979"/>
        <item x="757"/>
        <item x="1290"/>
        <item x="692"/>
        <item x="347"/>
        <item x="1044"/>
        <item x="704"/>
        <item x="900"/>
        <item x="724"/>
        <item x="463"/>
        <item x="735"/>
        <item x="813"/>
        <item x="1163"/>
        <item x="659"/>
        <item x="532"/>
        <item x="501"/>
        <item x="556"/>
        <item x="176"/>
        <item x="855"/>
        <item x="628"/>
        <item x="1137"/>
        <item x="1103"/>
        <item x="214"/>
        <item x="1066"/>
        <item x="542"/>
        <item x="410"/>
        <item x="1115"/>
        <item x="292"/>
        <item x="578"/>
        <item x="147"/>
        <item x="476"/>
        <item x="1228"/>
        <item x="762"/>
        <item x="862"/>
        <item x="832"/>
        <item x="897"/>
        <item x="502"/>
        <item x="605"/>
        <item x="342"/>
        <item x="764"/>
        <item x="830"/>
        <item x="1213"/>
        <item x="424"/>
        <item x="149"/>
        <item x="1222"/>
        <item x="584"/>
        <item x="1075"/>
        <item x="191"/>
        <item x="922"/>
        <item x="999"/>
        <item x="195"/>
        <item x="585"/>
        <item x="687"/>
        <item x="530"/>
        <item x="751"/>
        <item x="688"/>
        <item x="181"/>
        <item x="856"/>
        <item x="595"/>
        <item x="645"/>
        <item x="1212"/>
        <item x="925"/>
        <item x="1201"/>
        <item x="1070"/>
        <item x="232"/>
        <item x="477"/>
        <item x="429"/>
        <item x="220"/>
        <item x="35"/>
        <item x="817"/>
        <item x="1139"/>
        <item x="497"/>
        <item x="233"/>
        <item x="633"/>
        <item x="843"/>
        <item x="411"/>
        <item x="1252"/>
        <item x="921"/>
        <item x="1130"/>
        <item x="676"/>
        <item x="306"/>
        <item x="504"/>
        <item x="1053"/>
        <item x="321"/>
        <item x="1114"/>
        <item x="300"/>
        <item x="1052"/>
        <item x="505"/>
        <item x="869"/>
        <item x="1041"/>
        <item x="453"/>
        <item x="1145"/>
        <item x="872"/>
        <item x="878"/>
        <item x="240"/>
        <item x="1043"/>
        <item x="227"/>
        <item x="607"/>
        <item x="590"/>
        <item x="1173"/>
        <item x="1148"/>
        <item x="772"/>
        <item x="1143"/>
        <item x="918"/>
        <item x="1077"/>
        <item x="657"/>
        <item x="1215"/>
        <item x="573"/>
        <item x="833"/>
        <item x="212"/>
        <item x="269"/>
        <item x="349"/>
        <item x="881"/>
        <item x="624"/>
        <item x="729"/>
        <item x="749"/>
        <item x="733"/>
        <item x="357"/>
        <item x="175"/>
        <item x="1245"/>
        <item x="537"/>
        <item x="634"/>
        <item x="458"/>
        <item x="1229"/>
        <item x="284"/>
        <item x="173"/>
        <item x="778"/>
        <item x="981"/>
        <item x="865"/>
        <item x="800"/>
        <item x="403"/>
        <item x="1140"/>
        <item x="583"/>
        <item x="1078"/>
        <item x="230"/>
        <item x="350"/>
        <item x="771"/>
        <item x="328"/>
        <item x="246"/>
        <item x="1067"/>
        <item x="564"/>
        <item x="311"/>
        <item x="842"/>
        <item x="1081"/>
        <item x="871"/>
        <item x="874"/>
        <item x="559"/>
        <item x="356"/>
        <item x="288"/>
        <item x="67"/>
        <item x="641"/>
        <item x="293"/>
        <item x="189"/>
        <item x="266"/>
        <item x="334"/>
        <item x="459"/>
        <item x="299"/>
        <item x="1149"/>
        <item x="200"/>
        <item x="727"/>
        <item x="252"/>
        <item x="196"/>
        <item x="383"/>
        <item x="425"/>
        <item x="673"/>
        <item x="440"/>
        <item x="1086"/>
        <item x="50"/>
        <item x="326"/>
        <item x="734"/>
        <item x="275"/>
        <item x="875"/>
        <item x="723"/>
        <item x="364"/>
        <item x="964"/>
        <item x="1142"/>
        <item x="174"/>
        <item x="1210"/>
        <item x="739"/>
        <item x="184"/>
        <item x="393"/>
        <item x="307"/>
        <item x="1193"/>
        <item x="629"/>
        <item x="926"/>
        <item x="386"/>
        <item x="608"/>
        <item x="1083"/>
        <item x="129"/>
        <item x="1227"/>
        <item x="1225"/>
        <item x="866"/>
        <item x="1150"/>
        <item x="868"/>
        <item x="705"/>
        <item x="903"/>
        <item x="241"/>
        <item x="879"/>
        <item x="1254"/>
        <item x="914"/>
        <item x="1096"/>
        <item x="168"/>
        <item x="892"/>
        <item x="239"/>
        <item x="1195"/>
        <item x="519"/>
        <item x="475"/>
        <item x="1241"/>
        <item x="1209"/>
        <item x="1087"/>
        <item x="1199"/>
        <item x="407"/>
        <item x="908"/>
        <item x="474"/>
        <item x="346"/>
        <item x="329"/>
        <item x="769"/>
        <item x="929"/>
        <item x="1080"/>
        <item x="853"/>
        <item x="484"/>
        <item x="472"/>
        <item x="136"/>
        <item x="893"/>
        <item x="183"/>
        <item x="823"/>
        <item x="369"/>
        <item x="678"/>
        <item x="358"/>
        <item x="301"/>
        <item x="510"/>
        <item x="1192"/>
        <item x="290"/>
        <item x="890"/>
        <item x="1231"/>
        <item x="159"/>
        <item x="486"/>
        <item x="660"/>
        <item x="1127"/>
        <item x="142"/>
        <item x="1242"/>
        <item x="876"/>
        <item x="161"/>
        <item x="247"/>
        <item x="522"/>
        <item x="933"/>
        <item x="130"/>
        <item x="1191"/>
        <item x="1032"/>
        <item x="902"/>
        <item x="513"/>
        <item x="1133"/>
        <item x="1238"/>
        <item x="1095"/>
        <item x="822"/>
        <item x="514"/>
        <item x="387"/>
        <item x="1109"/>
        <item x="919"/>
        <item x="1088"/>
        <item x="234"/>
        <item x="351"/>
        <item x="935"/>
        <item x="128"/>
        <item x="270"/>
        <item x="1033"/>
        <item x="773"/>
        <item x="1097"/>
        <item x="859"/>
        <item x="517"/>
        <item x="1124"/>
        <item x="215"/>
        <item x="294"/>
        <item x="1236"/>
        <item x="412"/>
        <item x="938"/>
        <item x="1151"/>
        <item x="137"/>
        <item x="1235"/>
        <item x="1239"/>
        <item x="524"/>
        <item x="1064"/>
        <item x="836"/>
        <item x="1104"/>
        <item x="940"/>
        <item x="180"/>
        <item x="1071"/>
        <item x="1128"/>
        <item x="752"/>
        <item x="883"/>
        <item x="1147"/>
        <item x="831"/>
        <item x="824"/>
        <item x="1047"/>
        <item x="930"/>
        <item x="465"/>
        <item x="1089"/>
        <item x="516"/>
        <item x="185"/>
        <item x="851"/>
        <item x="1065"/>
        <item x="162"/>
        <item x="1042"/>
        <item x="1217"/>
        <item x="1085"/>
        <item x="932"/>
        <item x="1062"/>
        <item x="854"/>
        <item x="1244"/>
        <item x="1219"/>
        <item x="873"/>
        <item x="525"/>
        <item x="877"/>
        <item x="1034"/>
        <item x="499"/>
        <item x="1208"/>
        <item x="1205"/>
        <item x="1207"/>
        <item x="882"/>
        <item x="1247"/>
        <item x="1253"/>
        <item x="478"/>
        <item x="464"/>
        <item x="916"/>
        <item x="941"/>
        <item x="923"/>
        <item x="506"/>
        <item x="496"/>
        <item x="896"/>
        <item x="1251"/>
        <item x="1256"/>
        <item x="913"/>
        <item x="1258"/>
        <item x="1248"/>
        <item x="473"/>
        <item x="521"/>
        <item x="891"/>
        <item x="526"/>
        <item x="937"/>
        <item x="466"/>
        <item x="917"/>
        <item x="884"/>
        <item x="1233"/>
        <item x="1197"/>
        <item x="500"/>
        <item x="1250"/>
        <item x="942"/>
        <item x="1259"/>
        <item x="1211"/>
        <item x="1196"/>
        <item x="1240"/>
        <item x="1230"/>
        <item x="1206"/>
        <item x="1255"/>
        <item x="1260"/>
        <item x="1234"/>
        <item x="1198"/>
        <item t="default"/>
      </items>
    </pivotField>
  </pivotFields>
  <rowFields count="1">
    <field x="1"/>
  </rowFields>
  <rowItems count="72">
    <i>
      <x v="27"/>
    </i>
    <i>
      <x/>
    </i>
    <i>
      <x v="63"/>
    </i>
    <i>
      <x v="5"/>
    </i>
    <i>
      <x v="55"/>
    </i>
    <i>
      <x v="31"/>
    </i>
    <i>
      <x v="50"/>
    </i>
    <i>
      <x v="21"/>
    </i>
    <i>
      <x v="65"/>
    </i>
    <i>
      <x v="28"/>
    </i>
    <i>
      <x v="1"/>
    </i>
    <i>
      <x v="64"/>
    </i>
    <i>
      <x v="11"/>
    </i>
    <i>
      <x v="2"/>
    </i>
    <i>
      <x v="13"/>
    </i>
    <i>
      <x v="4"/>
    </i>
    <i>
      <x v="56"/>
    </i>
    <i>
      <x v="10"/>
    </i>
    <i>
      <x v="14"/>
    </i>
    <i>
      <x v="7"/>
    </i>
    <i>
      <x v="44"/>
    </i>
    <i>
      <x v="54"/>
    </i>
    <i>
      <x v="42"/>
    </i>
    <i>
      <x v="53"/>
    </i>
    <i>
      <x v="17"/>
    </i>
    <i>
      <x v="25"/>
    </i>
    <i>
      <x v="22"/>
    </i>
    <i>
      <x v="26"/>
    </i>
    <i>
      <x v="70"/>
    </i>
    <i>
      <x v="30"/>
    </i>
    <i>
      <x v="36"/>
    </i>
    <i>
      <x v="23"/>
    </i>
    <i>
      <x v="69"/>
    </i>
    <i>
      <x v="66"/>
    </i>
    <i>
      <x v="6"/>
    </i>
    <i>
      <x v="62"/>
    </i>
    <i>
      <x v="19"/>
    </i>
    <i>
      <x v="52"/>
    </i>
    <i>
      <x v="51"/>
    </i>
    <i>
      <x v="20"/>
    </i>
    <i>
      <x v="34"/>
    </i>
    <i>
      <x v="16"/>
    </i>
    <i>
      <x v="49"/>
    </i>
    <i>
      <x v="68"/>
    </i>
    <i>
      <x v="39"/>
    </i>
    <i>
      <x v="46"/>
    </i>
    <i>
      <x v="8"/>
    </i>
    <i>
      <x v="32"/>
    </i>
    <i>
      <x v="60"/>
    </i>
    <i>
      <x v="48"/>
    </i>
    <i>
      <x v="33"/>
    </i>
    <i>
      <x v="40"/>
    </i>
    <i>
      <x v="37"/>
    </i>
    <i>
      <x v="58"/>
    </i>
    <i>
      <x v="3"/>
    </i>
    <i>
      <x v="57"/>
    </i>
    <i>
      <x v="15"/>
    </i>
    <i>
      <x v="45"/>
    </i>
    <i>
      <x v="61"/>
    </i>
    <i>
      <x v="12"/>
    </i>
    <i>
      <x v="29"/>
    </i>
    <i>
      <x v="43"/>
    </i>
    <i>
      <x v="38"/>
    </i>
    <i>
      <x v="18"/>
    </i>
    <i>
      <x v="67"/>
    </i>
    <i>
      <x v="47"/>
    </i>
    <i>
      <x v="35"/>
    </i>
    <i>
      <x v="24"/>
    </i>
    <i>
      <x v="59"/>
    </i>
    <i>
      <x v="41"/>
    </i>
    <i>
      <x v="9"/>
    </i>
    <i t="grand">
      <x/>
    </i>
  </rowItems>
  <colItems count="1">
    <i/>
  </colItems>
  <pageFields count="1">
    <pageField fld="0" hier="-1"/>
  </pageFields>
  <dataFields count="1">
    <dataField name="Sum of Total Revenue" fld="2" baseField="0" baseItem="0" numFmtId="165"/>
  </dataFields>
  <formats count="9">
    <format dxfId="296">
      <pivotArea field="1" type="button" dataOnly="0" labelOnly="1" outline="0" axis="axisRow" fieldPosition="0"/>
    </format>
    <format dxfId="295">
      <pivotArea dataOnly="0" labelOnly="1" outline="0" axis="axisValues" fieldPosition="0"/>
    </format>
    <format dxfId="294">
      <pivotArea outline="0" collapsedLevelsAreSubtotals="1" fieldPosition="0"/>
    </format>
    <format dxfId="293">
      <pivotArea field="0" type="button" dataOnly="0" labelOnly="1" outline="0" axis="axisPage" fieldPosition="0"/>
    </format>
    <format dxfId="292">
      <pivotArea outline="0" collapsedLevelsAreSubtotals="1" fieldPosition="0"/>
    </format>
    <format dxfId="291">
      <pivotArea dataOnly="0" labelOnly="1" fieldPosition="0">
        <references count="1">
          <reference field="1" count="50">
            <x v="3"/>
            <x v="6"/>
            <x v="8"/>
            <x v="9"/>
            <x v="12"/>
            <x v="15"/>
            <x v="16"/>
            <x v="17"/>
            <x v="18"/>
            <x v="19"/>
            <x v="20"/>
            <x v="22"/>
            <x v="23"/>
            <x v="24"/>
            <x v="25"/>
            <x v="26"/>
            <x v="29"/>
            <x v="30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1"/>
            <x v="52"/>
            <x v="53"/>
            <x v="54"/>
            <x v="57"/>
            <x v="58"/>
            <x v="59"/>
            <x v="60"/>
            <x v="61"/>
            <x v="62"/>
            <x v="66"/>
            <x v="67"/>
            <x v="68"/>
            <x v="69"/>
            <x v="70"/>
          </reference>
        </references>
      </pivotArea>
    </format>
    <format dxfId="290">
      <pivotArea dataOnly="0" labelOnly="1" fieldPosition="0">
        <references count="1">
          <reference field="1" count="21">
            <x v="0"/>
            <x v="1"/>
            <x v="2"/>
            <x v="4"/>
            <x v="5"/>
            <x v="7"/>
            <x v="10"/>
            <x v="11"/>
            <x v="13"/>
            <x v="14"/>
            <x v="21"/>
            <x v="27"/>
            <x v="28"/>
            <x v="31"/>
            <x v="44"/>
            <x v="50"/>
            <x v="55"/>
            <x v="56"/>
            <x v="63"/>
            <x v="64"/>
            <x v="65"/>
          </reference>
        </references>
      </pivotArea>
    </format>
    <format dxfId="289">
      <pivotArea dataOnly="0" labelOnly="1" grandRow="1" outline="0" fieldPosition="0"/>
    </format>
    <format dxfId="288">
      <pivotArea dataOnly="0" labelOnly="1" outline="0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3EE705-FF22-2B47-A02F-93FAFACA2DEF}" autoFormatId="16" applyNumberFormats="0" applyBorderFormats="0" applyFontFormats="0" applyPatternFormats="0" applyAlignmentFormats="0" applyWidthHeightFormats="0">
  <queryTableRefresh nextId="4">
    <queryTableFields count="3">
      <queryTableField id="1" name="customer_state" tableColumnId="1"/>
      <queryTableField id="2" name="product_category_name_english" tableColumnId="2"/>
      <queryTableField id="3" name="total_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1D82516-EE40-ED40-94A8-6E7523F71949}" autoFormatId="16" applyNumberFormats="0" applyBorderFormats="0" applyFontFormats="0" applyPatternFormats="0" applyAlignmentFormats="0" applyWidthHeightFormats="0">
  <queryTableRefresh nextId="4">
    <queryTableFields count="3">
      <queryTableField id="1" name="customer_state" tableColumnId="1"/>
      <queryTableField id="2" name="order_count" tableColumnId="2"/>
      <queryTableField id="3" name="total_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3BBBB-06CC-7949-A604-96FD450887D7}" name="category_by_state" displayName="category_by_state" ref="A1:C1357" tableType="queryTable" totalsRowShown="0">
  <autoFilter ref="A1:C1357" xr:uid="{0773BBBB-06CC-7949-A604-96FD450887D7}"/>
  <tableColumns count="3">
    <tableColumn id="1" xr3:uid="{076A7A3A-1E4A-CE48-B7F3-6A6FCAEE69DE}" uniqueName="1" name="customer_state" queryTableFieldId="1" dataDxfId="301"/>
    <tableColumn id="2" xr3:uid="{5C2CFD05-0B2C-F646-8B70-3693B1AC453C}" uniqueName="2" name="product_category_name_english" queryTableFieldId="2" dataDxfId="298"/>
    <tableColumn id="3" xr3:uid="{3B5D2CB9-8F3E-E84A-A91C-5C1A72D58553}" uniqueName="3" name="total_revenue" queryTableFieldId="3" dataDxfId="297" dataCellStyle="Curr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E88B7F-7974-D545-8575-5F37F39146E9}" name="state_summary" displayName="state_summary" ref="F1:H28" tableType="queryTable" totalsRowShown="0">
  <autoFilter ref="F1:H28" xr:uid="{90E88B7F-7974-D545-8575-5F37F39146E9}"/>
  <tableColumns count="3">
    <tableColumn id="1" xr3:uid="{B29B697D-9386-CC47-A6F4-D5EF21F5D3C4}" uniqueName="1" name="customer_state" queryTableFieldId="1" dataDxfId="300"/>
    <tableColumn id="2" xr3:uid="{FB39D1D5-FE0F-4340-AE3C-95A74335055D}" uniqueName="2" name="order_count" queryTableFieldId="2"/>
    <tableColumn id="3" xr3:uid="{833D98D9-6B08-9445-A9FE-D3D7B269257A}" uniqueName="3" name="total_revenue" queryTableFieldId="3" dataDxfId="29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2E5B-7EEA-DE4A-8127-341832B0D92E}">
  <dimension ref="A1:H1357"/>
  <sheetViews>
    <sheetView tabSelected="1" workbookViewId="0">
      <selection activeCell="F38" sqref="F38"/>
    </sheetView>
  </sheetViews>
  <sheetFormatPr baseColWidth="10" defaultRowHeight="16" x14ac:dyDescent="0.2"/>
  <cols>
    <col min="1" max="1" width="16.83203125" bestFit="1" customWidth="1"/>
    <col min="2" max="2" width="35.5" bestFit="1" customWidth="1"/>
    <col min="3" max="3" width="14.83203125" bestFit="1" customWidth="1"/>
    <col min="6" max="6" width="14.33203125" customWidth="1"/>
    <col min="8" max="8" width="12.6640625" bestFit="1" customWidth="1"/>
    <col min="11" max="11" width="16.6640625" customWidth="1"/>
    <col min="12" max="12" width="30.1640625" customWidth="1"/>
    <col min="13" max="13" width="14.6640625" customWidth="1"/>
  </cols>
  <sheetData>
    <row r="1" spans="1:8" x14ac:dyDescent="0.2">
      <c r="A1" t="s">
        <v>0</v>
      </c>
      <c r="B1" t="s">
        <v>1</v>
      </c>
      <c r="C1" t="s">
        <v>2</v>
      </c>
      <c r="F1" t="s">
        <v>0</v>
      </c>
      <c r="G1" t="s">
        <v>101</v>
      </c>
      <c r="H1" t="s">
        <v>2</v>
      </c>
    </row>
    <row r="2" spans="1:8" x14ac:dyDescent="0.2">
      <c r="A2" s="1" t="s">
        <v>3</v>
      </c>
      <c r="B2" s="1" t="s">
        <v>4</v>
      </c>
      <c r="C2" s="3">
        <v>540.98</v>
      </c>
      <c r="F2" s="1" t="s">
        <v>99</v>
      </c>
      <c r="G2">
        <v>41375</v>
      </c>
      <c r="H2" s="2">
        <v>5202955.05</v>
      </c>
    </row>
    <row r="3" spans="1:8" x14ac:dyDescent="0.2">
      <c r="A3" s="1" t="s">
        <v>3</v>
      </c>
      <c r="B3" s="1" t="s">
        <v>5</v>
      </c>
      <c r="C3" s="3">
        <v>697.84</v>
      </c>
      <c r="F3" s="1" t="s">
        <v>92</v>
      </c>
      <c r="G3">
        <v>12762</v>
      </c>
      <c r="H3" s="2">
        <v>1824092.67</v>
      </c>
    </row>
    <row r="4" spans="1:8" x14ac:dyDescent="0.2">
      <c r="A4" s="1" t="s">
        <v>3</v>
      </c>
      <c r="B4" s="1" t="s">
        <v>6</v>
      </c>
      <c r="C4" s="3">
        <v>567.70000000000005</v>
      </c>
      <c r="F4" s="1" t="s">
        <v>84</v>
      </c>
      <c r="G4">
        <v>11544</v>
      </c>
      <c r="H4" s="2">
        <v>1585308.03</v>
      </c>
    </row>
    <row r="5" spans="1:8" x14ac:dyDescent="0.2">
      <c r="A5" s="1" t="s">
        <v>3</v>
      </c>
      <c r="B5" s="1" t="s">
        <v>7</v>
      </c>
      <c r="C5" s="3">
        <v>633.79999999999995</v>
      </c>
      <c r="F5" s="1" t="s">
        <v>96</v>
      </c>
      <c r="G5">
        <v>5432</v>
      </c>
      <c r="H5" s="2">
        <v>750304.02</v>
      </c>
    </row>
    <row r="6" spans="1:8" x14ac:dyDescent="0.2">
      <c r="A6" s="1" t="s">
        <v>3</v>
      </c>
      <c r="B6" s="1" t="s">
        <v>8</v>
      </c>
      <c r="C6" s="3">
        <v>69.900000000000006</v>
      </c>
      <c r="F6" s="1" t="s">
        <v>91</v>
      </c>
      <c r="G6">
        <v>4998</v>
      </c>
      <c r="H6" s="2">
        <v>683083.76</v>
      </c>
    </row>
    <row r="7" spans="1:8" x14ac:dyDescent="0.2">
      <c r="A7" s="1" t="s">
        <v>3</v>
      </c>
      <c r="B7" s="1" t="s">
        <v>9</v>
      </c>
      <c r="C7" s="3">
        <v>1200</v>
      </c>
      <c r="F7" s="1" t="s">
        <v>97</v>
      </c>
      <c r="G7">
        <v>3612</v>
      </c>
      <c r="H7" s="2">
        <v>520553.34</v>
      </c>
    </row>
    <row r="8" spans="1:8" x14ac:dyDescent="0.2">
      <c r="A8" s="1" t="s">
        <v>3</v>
      </c>
      <c r="B8" s="1" t="s">
        <v>10</v>
      </c>
      <c r="C8" s="3">
        <v>1290.48</v>
      </c>
      <c r="F8" s="1" t="s">
        <v>55</v>
      </c>
      <c r="G8">
        <v>3358</v>
      </c>
      <c r="H8" s="2">
        <v>511349.99</v>
      </c>
    </row>
    <row r="9" spans="1:8" x14ac:dyDescent="0.2">
      <c r="A9" s="1" t="s">
        <v>3</v>
      </c>
      <c r="B9" s="1" t="s">
        <v>11</v>
      </c>
      <c r="C9" s="3">
        <v>276.14</v>
      </c>
      <c r="F9" s="1" t="s">
        <v>73</v>
      </c>
      <c r="G9">
        <v>2125</v>
      </c>
      <c r="H9" s="2">
        <v>302603.94</v>
      </c>
    </row>
    <row r="10" spans="1:8" x14ac:dyDescent="0.2">
      <c r="A10" s="1" t="s">
        <v>3</v>
      </c>
      <c r="B10" s="1" t="s">
        <v>12</v>
      </c>
      <c r="C10" s="3">
        <v>99.99</v>
      </c>
      <c r="F10" s="1" t="s">
        <v>80</v>
      </c>
      <c r="G10">
        <v>2007</v>
      </c>
      <c r="H10" s="2">
        <v>294591.95</v>
      </c>
    </row>
    <row r="11" spans="1:8" x14ac:dyDescent="0.2">
      <c r="A11" s="1" t="s">
        <v>3</v>
      </c>
      <c r="B11" s="1" t="s">
        <v>13</v>
      </c>
      <c r="C11" s="3">
        <v>487.55</v>
      </c>
      <c r="F11" s="1" t="s">
        <v>78</v>
      </c>
      <c r="G11">
        <v>2025</v>
      </c>
      <c r="H11" s="2">
        <v>275037.31</v>
      </c>
    </row>
    <row r="12" spans="1:8" x14ac:dyDescent="0.2">
      <c r="A12" s="1" t="s">
        <v>3</v>
      </c>
      <c r="B12" s="1" t="s">
        <v>14</v>
      </c>
      <c r="C12" s="3">
        <v>89.9</v>
      </c>
      <c r="F12" s="1" t="s">
        <v>89</v>
      </c>
      <c r="G12">
        <v>1648</v>
      </c>
      <c r="H12" s="2">
        <v>262788.03000000003</v>
      </c>
    </row>
    <row r="13" spans="1:8" x14ac:dyDescent="0.2">
      <c r="A13" s="1" t="s">
        <v>3</v>
      </c>
      <c r="B13" s="1" t="s">
        <v>15</v>
      </c>
      <c r="C13" s="3">
        <v>295.60000000000002</v>
      </c>
      <c r="F13" s="1" t="s">
        <v>72</v>
      </c>
      <c r="G13">
        <v>1327</v>
      </c>
      <c r="H13" s="2">
        <v>227254.71</v>
      </c>
    </row>
    <row r="14" spans="1:8" x14ac:dyDescent="0.2">
      <c r="A14" s="1" t="s">
        <v>3</v>
      </c>
      <c r="B14" s="1" t="s">
        <v>16</v>
      </c>
      <c r="C14" s="3">
        <v>1316.44</v>
      </c>
      <c r="F14" s="1" t="s">
        <v>87</v>
      </c>
      <c r="G14">
        <v>970</v>
      </c>
      <c r="H14" s="2">
        <v>178947.81</v>
      </c>
    </row>
    <row r="15" spans="1:8" x14ac:dyDescent="0.2">
      <c r="A15" s="1" t="s">
        <v>3</v>
      </c>
      <c r="B15" s="1" t="s">
        <v>17</v>
      </c>
      <c r="C15" s="3">
        <v>79.900000000000006</v>
      </c>
      <c r="F15" s="1" t="s">
        <v>86</v>
      </c>
      <c r="G15">
        <v>903</v>
      </c>
      <c r="H15" s="2">
        <v>156453.53</v>
      </c>
    </row>
    <row r="16" spans="1:8" x14ac:dyDescent="0.2">
      <c r="A16" s="1" t="s">
        <v>3</v>
      </c>
      <c r="B16" s="1" t="s">
        <v>18</v>
      </c>
      <c r="C16" s="3">
        <v>629</v>
      </c>
      <c r="F16" s="1" t="s">
        <v>82</v>
      </c>
      <c r="G16">
        <v>740</v>
      </c>
      <c r="H16" s="2">
        <v>119648.22</v>
      </c>
    </row>
    <row r="17" spans="1:8" x14ac:dyDescent="0.2">
      <c r="A17" s="1" t="s">
        <v>3</v>
      </c>
      <c r="B17" s="1" t="s">
        <v>19</v>
      </c>
      <c r="C17" s="3">
        <v>1386.58</v>
      </c>
      <c r="F17" s="1" t="s">
        <v>85</v>
      </c>
      <c r="G17">
        <v>709</v>
      </c>
      <c r="H17" s="2">
        <v>116812.64</v>
      </c>
    </row>
    <row r="18" spans="1:8" x14ac:dyDescent="0.2">
      <c r="A18" s="1" t="s">
        <v>3</v>
      </c>
      <c r="B18" s="1" t="s">
        <v>20</v>
      </c>
      <c r="C18" s="3">
        <v>513.05999999999995</v>
      </c>
      <c r="F18" s="1" t="s">
        <v>88</v>
      </c>
      <c r="G18">
        <v>532</v>
      </c>
      <c r="H18" s="2">
        <v>115268.08</v>
      </c>
    </row>
    <row r="19" spans="1:8" x14ac:dyDescent="0.2">
      <c r="A19" s="1" t="s">
        <v>3</v>
      </c>
      <c r="B19" s="1" t="s">
        <v>21</v>
      </c>
      <c r="C19" s="3">
        <v>348.9</v>
      </c>
      <c r="F19" s="1" t="s">
        <v>90</v>
      </c>
      <c r="G19">
        <v>493</v>
      </c>
      <c r="H19" s="2">
        <v>86914.08</v>
      </c>
    </row>
    <row r="20" spans="1:8" x14ac:dyDescent="0.2">
      <c r="A20" s="1" t="s">
        <v>3</v>
      </c>
      <c r="B20" s="1" t="s">
        <v>22</v>
      </c>
      <c r="C20" s="3">
        <v>62.8</v>
      </c>
      <c r="F20" s="1" t="s">
        <v>93</v>
      </c>
      <c r="G20">
        <v>482</v>
      </c>
      <c r="H20" s="2">
        <v>83034.98</v>
      </c>
    </row>
    <row r="21" spans="1:8" x14ac:dyDescent="0.2">
      <c r="A21" s="1" t="s">
        <v>3</v>
      </c>
      <c r="B21" s="1" t="s">
        <v>23</v>
      </c>
      <c r="C21" s="3">
        <v>36.9</v>
      </c>
      <c r="F21" s="1" t="s">
        <v>31</v>
      </c>
      <c r="G21">
        <v>411</v>
      </c>
      <c r="H21" s="2">
        <v>80314.81</v>
      </c>
    </row>
    <row r="22" spans="1:8" x14ac:dyDescent="0.2">
      <c r="A22" s="1" t="s">
        <v>3</v>
      </c>
      <c r="B22" s="1" t="s">
        <v>24</v>
      </c>
      <c r="C22" s="3">
        <v>303.88</v>
      </c>
      <c r="F22" s="1" t="s">
        <v>98</v>
      </c>
      <c r="G22">
        <v>345</v>
      </c>
      <c r="H22" s="2">
        <v>58920.85</v>
      </c>
    </row>
    <row r="23" spans="1:8" x14ac:dyDescent="0.2">
      <c r="A23" s="1" t="s">
        <v>3</v>
      </c>
      <c r="B23" s="1" t="s">
        <v>25</v>
      </c>
      <c r="C23" s="3">
        <v>54</v>
      </c>
      <c r="F23" s="1" t="s">
        <v>100</v>
      </c>
      <c r="G23">
        <v>279</v>
      </c>
      <c r="H23" s="2">
        <v>49621.74</v>
      </c>
    </row>
    <row r="24" spans="1:8" x14ac:dyDescent="0.2">
      <c r="A24" s="1" t="s">
        <v>3</v>
      </c>
      <c r="B24" s="1" t="s">
        <v>26</v>
      </c>
      <c r="C24" s="3">
        <v>1677.46</v>
      </c>
      <c r="F24" s="1" t="s">
        <v>94</v>
      </c>
      <c r="G24">
        <v>247</v>
      </c>
      <c r="H24" s="2">
        <v>46140.639999999999</v>
      </c>
    </row>
    <row r="25" spans="1:8" x14ac:dyDescent="0.2">
      <c r="A25" s="1" t="s">
        <v>3</v>
      </c>
      <c r="B25" s="1" t="s">
        <v>27</v>
      </c>
      <c r="C25" s="3">
        <v>528.9</v>
      </c>
      <c r="F25" s="1" t="s">
        <v>49</v>
      </c>
      <c r="G25">
        <v>147</v>
      </c>
      <c r="H25" s="2">
        <v>22356.84</v>
      </c>
    </row>
    <row r="26" spans="1:8" x14ac:dyDescent="0.2">
      <c r="A26" s="1" t="s">
        <v>3</v>
      </c>
      <c r="B26" s="1" t="s">
        <v>28</v>
      </c>
      <c r="C26" s="3">
        <v>1103.96</v>
      </c>
      <c r="F26" s="1" t="s">
        <v>3</v>
      </c>
      <c r="G26">
        <v>81</v>
      </c>
      <c r="H26" s="2">
        <v>15982.95</v>
      </c>
    </row>
    <row r="27" spans="1:8" x14ac:dyDescent="0.2">
      <c r="A27" s="1" t="s">
        <v>3</v>
      </c>
      <c r="B27" s="1" t="s">
        <v>29</v>
      </c>
      <c r="C27" s="3">
        <v>234.79</v>
      </c>
      <c r="F27" s="1" t="s">
        <v>54</v>
      </c>
      <c r="G27">
        <v>68</v>
      </c>
      <c r="H27" s="2">
        <v>13474.3</v>
      </c>
    </row>
    <row r="28" spans="1:8" x14ac:dyDescent="0.2">
      <c r="A28" s="1" t="s">
        <v>3</v>
      </c>
      <c r="B28" s="1" t="s">
        <v>30</v>
      </c>
      <c r="C28" s="3">
        <v>1389.6</v>
      </c>
      <c r="F28" s="1" t="s">
        <v>95</v>
      </c>
      <c r="G28">
        <v>46</v>
      </c>
      <c r="H28" s="2">
        <v>7829.43</v>
      </c>
    </row>
    <row r="29" spans="1:8" x14ac:dyDescent="0.2">
      <c r="A29" s="1" t="s">
        <v>31</v>
      </c>
      <c r="B29" s="1" t="s">
        <v>32</v>
      </c>
      <c r="C29" s="3">
        <v>1476.3</v>
      </c>
    </row>
    <row r="30" spans="1:8" x14ac:dyDescent="0.2">
      <c r="A30" s="1" t="s">
        <v>31</v>
      </c>
      <c r="B30" s="1" t="s">
        <v>33</v>
      </c>
      <c r="C30" s="3">
        <v>540</v>
      </c>
    </row>
    <row r="31" spans="1:8" x14ac:dyDescent="0.2">
      <c r="A31" s="1" t="s">
        <v>31</v>
      </c>
      <c r="B31" s="1" t="s">
        <v>34</v>
      </c>
      <c r="C31" s="3">
        <v>550.09</v>
      </c>
    </row>
    <row r="32" spans="1:8" x14ac:dyDescent="0.2">
      <c r="A32" s="1" t="s">
        <v>31</v>
      </c>
      <c r="B32" s="1" t="s">
        <v>4</v>
      </c>
      <c r="C32" s="3">
        <v>4578.54</v>
      </c>
    </row>
    <row r="33" spans="1:3" x14ac:dyDescent="0.2">
      <c r="A33" s="1" t="s">
        <v>31</v>
      </c>
      <c r="B33" s="1" t="s">
        <v>5</v>
      </c>
      <c r="C33" s="3">
        <v>728.77</v>
      </c>
    </row>
    <row r="34" spans="1:3" x14ac:dyDescent="0.2">
      <c r="A34" s="1" t="s">
        <v>31</v>
      </c>
      <c r="B34" s="1" t="s">
        <v>6</v>
      </c>
      <c r="C34" s="3">
        <v>2023.04</v>
      </c>
    </row>
    <row r="35" spans="1:3" x14ac:dyDescent="0.2">
      <c r="A35" s="1" t="s">
        <v>31</v>
      </c>
      <c r="B35" s="1" t="s">
        <v>7</v>
      </c>
      <c r="C35" s="3">
        <v>61</v>
      </c>
    </row>
    <row r="36" spans="1:3" x14ac:dyDescent="0.2">
      <c r="A36" s="1" t="s">
        <v>31</v>
      </c>
      <c r="B36" s="1" t="s">
        <v>9</v>
      </c>
      <c r="C36" s="3">
        <v>2049.9899999999998</v>
      </c>
    </row>
    <row r="37" spans="1:3" x14ac:dyDescent="0.2">
      <c r="A37" s="1" t="s">
        <v>31</v>
      </c>
      <c r="B37" s="1" t="s">
        <v>10</v>
      </c>
      <c r="C37" s="3">
        <v>7714.36</v>
      </c>
    </row>
    <row r="38" spans="1:3" x14ac:dyDescent="0.2">
      <c r="A38" s="1" t="s">
        <v>31</v>
      </c>
      <c r="B38" s="1" t="s">
        <v>11</v>
      </c>
      <c r="C38" s="3">
        <v>2683.08</v>
      </c>
    </row>
    <row r="39" spans="1:3" x14ac:dyDescent="0.2">
      <c r="A39" s="1" t="s">
        <v>31</v>
      </c>
      <c r="B39" s="1" t="s">
        <v>35</v>
      </c>
      <c r="C39" s="3">
        <v>1195</v>
      </c>
    </row>
    <row r="40" spans="1:3" x14ac:dyDescent="0.2">
      <c r="A40" s="1" t="s">
        <v>31</v>
      </c>
      <c r="B40" s="1" t="s">
        <v>12</v>
      </c>
      <c r="C40" s="3">
        <v>2500.94</v>
      </c>
    </row>
    <row r="41" spans="1:3" x14ac:dyDescent="0.2">
      <c r="A41" s="1" t="s">
        <v>31</v>
      </c>
      <c r="B41" s="1" t="s">
        <v>36</v>
      </c>
      <c r="C41" s="3">
        <v>15.49</v>
      </c>
    </row>
    <row r="42" spans="1:3" x14ac:dyDescent="0.2">
      <c r="A42" s="1" t="s">
        <v>31</v>
      </c>
      <c r="B42" s="1" t="s">
        <v>37</v>
      </c>
      <c r="C42" s="3">
        <v>24.9</v>
      </c>
    </row>
    <row r="43" spans="1:3" x14ac:dyDescent="0.2">
      <c r="A43" s="1" t="s">
        <v>31</v>
      </c>
      <c r="B43" s="1" t="s">
        <v>13</v>
      </c>
      <c r="C43" s="3">
        <v>344.56</v>
      </c>
    </row>
    <row r="44" spans="1:3" x14ac:dyDescent="0.2">
      <c r="A44" s="1" t="s">
        <v>31</v>
      </c>
      <c r="B44" s="1" t="s">
        <v>14</v>
      </c>
      <c r="C44" s="3">
        <v>228.7</v>
      </c>
    </row>
    <row r="45" spans="1:3" x14ac:dyDescent="0.2">
      <c r="A45" s="1" t="s">
        <v>31</v>
      </c>
      <c r="B45" s="1" t="s">
        <v>15</v>
      </c>
      <c r="C45" s="3">
        <v>346.42</v>
      </c>
    </row>
    <row r="46" spans="1:3" x14ac:dyDescent="0.2">
      <c r="A46" s="1" t="s">
        <v>31</v>
      </c>
      <c r="B46" s="1" t="s">
        <v>38</v>
      </c>
      <c r="C46" s="3">
        <v>731.87</v>
      </c>
    </row>
    <row r="47" spans="1:3" x14ac:dyDescent="0.2">
      <c r="A47" s="1" t="s">
        <v>31</v>
      </c>
      <c r="B47" s="1" t="s">
        <v>39</v>
      </c>
      <c r="C47" s="3">
        <v>189.9</v>
      </c>
    </row>
    <row r="48" spans="1:3" x14ac:dyDescent="0.2">
      <c r="A48" s="1" t="s">
        <v>31</v>
      </c>
      <c r="B48" s="1" t="s">
        <v>40</v>
      </c>
      <c r="C48" s="3">
        <v>44.06</v>
      </c>
    </row>
    <row r="49" spans="1:3" x14ac:dyDescent="0.2">
      <c r="A49" s="1" t="s">
        <v>31</v>
      </c>
      <c r="B49" s="1" t="s">
        <v>16</v>
      </c>
      <c r="C49" s="3">
        <v>3713.29</v>
      </c>
    </row>
    <row r="50" spans="1:3" x14ac:dyDescent="0.2">
      <c r="A50" s="1" t="s">
        <v>31</v>
      </c>
      <c r="B50" s="1" t="s">
        <v>17</v>
      </c>
      <c r="C50" s="3">
        <v>729.79</v>
      </c>
    </row>
    <row r="51" spans="1:3" x14ac:dyDescent="0.2">
      <c r="A51" s="1" t="s">
        <v>31</v>
      </c>
      <c r="B51" s="1" t="s">
        <v>18</v>
      </c>
      <c r="C51" s="3">
        <v>1648.08</v>
      </c>
    </row>
    <row r="52" spans="1:3" x14ac:dyDescent="0.2">
      <c r="A52" s="1" t="s">
        <v>31</v>
      </c>
      <c r="B52" s="1" t="s">
        <v>19</v>
      </c>
      <c r="C52" s="3">
        <v>12780.26</v>
      </c>
    </row>
    <row r="53" spans="1:3" x14ac:dyDescent="0.2">
      <c r="A53" s="1" t="s">
        <v>31</v>
      </c>
      <c r="B53" s="1" t="s">
        <v>41</v>
      </c>
      <c r="C53" s="3">
        <v>206.55</v>
      </c>
    </row>
    <row r="54" spans="1:3" x14ac:dyDescent="0.2">
      <c r="A54" s="1" t="s">
        <v>31</v>
      </c>
      <c r="B54" s="1" t="s">
        <v>42</v>
      </c>
      <c r="C54" s="3">
        <v>2345</v>
      </c>
    </row>
    <row r="55" spans="1:3" x14ac:dyDescent="0.2">
      <c r="A55" s="1" t="s">
        <v>31</v>
      </c>
      <c r="B55" s="1" t="s">
        <v>43</v>
      </c>
      <c r="C55" s="3">
        <v>89.9</v>
      </c>
    </row>
    <row r="56" spans="1:3" x14ac:dyDescent="0.2">
      <c r="A56" s="1" t="s">
        <v>31</v>
      </c>
      <c r="B56" s="1" t="s">
        <v>44</v>
      </c>
      <c r="C56" s="3">
        <v>630.75</v>
      </c>
    </row>
    <row r="57" spans="1:3" x14ac:dyDescent="0.2">
      <c r="A57" s="1" t="s">
        <v>31</v>
      </c>
      <c r="B57" s="1" t="s">
        <v>20</v>
      </c>
      <c r="C57" s="3">
        <v>1020.36</v>
      </c>
    </row>
    <row r="58" spans="1:3" x14ac:dyDescent="0.2">
      <c r="A58" s="1" t="s">
        <v>31</v>
      </c>
      <c r="B58" s="1" t="s">
        <v>45</v>
      </c>
      <c r="C58" s="3">
        <v>199</v>
      </c>
    </row>
    <row r="59" spans="1:3" x14ac:dyDescent="0.2">
      <c r="A59" s="1" t="s">
        <v>31</v>
      </c>
      <c r="B59" s="1" t="s">
        <v>46</v>
      </c>
      <c r="C59" s="3">
        <v>144</v>
      </c>
    </row>
    <row r="60" spans="1:3" x14ac:dyDescent="0.2">
      <c r="A60" s="1" t="s">
        <v>31</v>
      </c>
      <c r="B60" s="1" t="s">
        <v>21</v>
      </c>
      <c r="C60" s="3">
        <v>999.36</v>
      </c>
    </row>
    <row r="61" spans="1:3" x14ac:dyDescent="0.2">
      <c r="A61" s="1" t="s">
        <v>31</v>
      </c>
      <c r="B61" s="1" t="s">
        <v>22</v>
      </c>
      <c r="C61" s="3">
        <v>219.9</v>
      </c>
    </row>
    <row r="62" spans="1:3" x14ac:dyDescent="0.2">
      <c r="A62" s="1" t="s">
        <v>31</v>
      </c>
      <c r="B62" s="1" t="s">
        <v>23</v>
      </c>
      <c r="C62" s="3">
        <v>367</v>
      </c>
    </row>
    <row r="63" spans="1:3" x14ac:dyDescent="0.2">
      <c r="A63" s="1" t="s">
        <v>31</v>
      </c>
      <c r="B63" s="1" t="s">
        <v>47</v>
      </c>
      <c r="C63" s="3">
        <v>1009.84</v>
      </c>
    </row>
    <row r="64" spans="1:3" x14ac:dyDescent="0.2">
      <c r="A64" s="1" t="s">
        <v>31</v>
      </c>
      <c r="B64" s="1" t="s">
        <v>24</v>
      </c>
      <c r="C64" s="3">
        <v>1766.66</v>
      </c>
    </row>
    <row r="65" spans="1:3" x14ac:dyDescent="0.2">
      <c r="A65" s="1" t="s">
        <v>31</v>
      </c>
      <c r="B65" s="1" t="s">
        <v>48</v>
      </c>
      <c r="C65" s="3">
        <v>2195.9</v>
      </c>
    </row>
    <row r="66" spans="1:3" x14ac:dyDescent="0.2">
      <c r="A66" s="1" t="s">
        <v>31</v>
      </c>
      <c r="B66" s="1" t="s">
        <v>26</v>
      </c>
      <c r="C66" s="3">
        <v>3747.68</v>
      </c>
    </row>
    <row r="67" spans="1:3" x14ac:dyDescent="0.2">
      <c r="A67" s="1" t="s">
        <v>31</v>
      </c>
      <c r="B67" s="1" t="s">
        <v>27</v>
      </c>
      <c r="C67" s="3">
        <v>655.01</v>
      </c>
    </row>
    <row r="68" spans="1:3" x14ac:dyDescent="0.2">
      <c r="A68" s="1" t="s">
        <v>31</v>
      </c>
      <c r="B68" s="1" t="s">
        <v>28</v>
      </c>
      <c r="C68" s="3">
        <v>4508.1499999999996</v>
      </c>
    </row>
    <row r="69" spans="1:3" x14ac:dyDescent="0.2">
      <c r="A69" s="1" t="s">
        <v>31</v>
      </c>
      <c r="B69" s="1" t="s">
        <v>29</v>
      </c>
      <c r="C69" s="3">
        <v>1053.07</v>
      </c>
    </row>
    <row r="70" spans="1:3" x14ac:dyDescent="0.2">
      <c r="A70" s="1" t="s">
        <v>31</v>
      </c>
      <c r="B70" s="1" t="s">
        <v>30</v>
      </c>
      <c r="C70" s="3">
        <v>11683.27</v>
      </c>
    </row>
    <row r="71" spans="1:3" x14ac:dyDescent="0.2">
      <c r="A71" s="1" t="s">
        <v>49</v>
      </c>
      <c r="B71" s="1" t="s">
        <v>33</v>
      </c>
      <c r="C71" s="3">
        <v>89</v>
      </c>
    </row>
    <row r="72" spans="1:3" x14ac:dyDescent="0.2">
      <c r="A72" s="1" t="s">
        <v>49</v>
      </c>
      <c r="B72" s="1" t="s">
        <v>50</v>
      </c>
      <c r="C72" s="3">
        <v>58.35</v>
      </c>
    </row>
    <row r="73" spans="1:3" x14ac:dyDescent="0.2">
      <c r="A73" s="1" t="s">
        <v>49</v>
      </c>
      <c r="B73" s="1" t="s">
        <v>34</v>
      </c>
      <c r="C73" s="3">
        <v>89.9</v>
      </c>
    </row>
    <row r="74" spans="1:3" x14ac:dyDescent="0.2">
      <c r="A74" s="1" t="s">
        <v>49</v>
      </c>
      <c r="B74" s="1" t="s">
        <v>4</v>
      </c>
      <c r="C74" s="3">
        <v>723.9</v>
      </c>
    </row>
    <row r="75" spans="1:3" x14ac:dyDescent="0.2">
      <c r="A75" s="1" t="s">
        <v>49</v>
      </c>
      <c r="B75" s="1" t="s">
        <v>5</v>
      </c>
      <c r="C75" s="3">
        <v>657.69</v>
      </c>
    </row>
    <row r="76" spans="1:3" x14ac:dyDescent="0.2">
      <c r="A76" s="1" t="s">
        <v>49</v>
      </c>
      <c r="B76" s="1" t="s">
        <v>6</v>
      </c>
      <c r="C76" s="3">
        <v>681.2</v>
      </c>
    </row>
    <row r="77" spans="1:3" x14ac:dyDescent="0.2">
      <c r="A77" s="1" t="s">
        <v>49</v>
      </c>
      <c r="B77" s="1" t="s">
        <v>7</v>
      </c>
      <c r="C77" s="3">
        <v>87</v>
      </c>
    </row>
    <row r="78" spans="1:3" x14ac:dyDescent="0.2">
      <c r="A78" s="1" t="s">
        <v>49</v>
      </c>
      <c r="B78" s="1" t="s">
        <v>9</v>
      </c>
      <c r="C78" s="3">
        <v>1340</v>
      </c>
    </row>
    <row r="79" spans="1:3" x14ac:dyDescent="0.2">
      <c r="A79" s="1" t="s">
        <v>49</v>
      </c>
      <c r="B79" s="1" t="s">
        <v>10</v>
      </c>
      <c r="C79" s="3">
        <v>1960.74</v>
      </c>
    </row>
    <row r="80" spans="1:3" x14ac:dyDescent="0.2">
      <c r="A80" s="1" t="s">
        <v>49</v>
      </c>
      <c r="B80" s="1" t="s">
        <v>11</v>
      </c>
      <c r="C80" s="3">
        <v>423.3</v>
      </c>
    </row>
    <row r="81" spans="1:3" x14ac:dyDescent="0.2">
      <c r="A81" s="1" t="s">
        <v>49</v>
      </c>
      <c r="B81" s="1" t="s">
        <v>12</v>
      </c>
      <c r="C81" s="3">
        <v>638.88</v>
      </c>
    </row>
    <row r="82" spans="1:3" x14ac:dyDescent="0.2">
      <c r="A82" s="1" t="s">
        <v>49</v>
      </c>
      <c r="B82" s="1" t="s">
        <v>51</v>
      </c>
      <c r="C82" s="3">
        <v>132.80000000000001</v>
      </c>
    </row>
    <row r="83" spans="1:3" x14ac:dyDescent="0.2">
      <c r="A83" s="1" t="s">
        <v>49</v>
      </c>
      <c r="B83" s="1" t="s">
        <v>36</v>
      </c>
      <c r="C83" s="3">
        <v>47.49</v>
      </c>
    </row>
    <row r="84" spans="1:3" x14ac:dyDescent="0.2">
      <c r="A84" s="1" t="s">
        <v>49</v>
      </c>
      <c r="B84" s="1" t="s">
        <v>13</v>
      </c>
      <c r="C84" s="3">
        <v>58.95</v>
      </c>
    </row>
    <row r="85" spans="1:3" x14ac:dyDescent="0.2">
      <c r="A85" s="1" t="s">
        <v>49</v>
      </c>
      <c r="B85" s="1" t="s">
        <v>14</v>
      </c>
      <c r="C85" s="3">
        <v>699.99</v>
      </c>
    </row>
    <row r="86" spans="1:3" x14ac:dyDescent="0.2">
      <c r="A86" s="1" t="s">
        <v>49</v>
      </c>
      <c r="B86" s="1" t="s">
        <v>38</v>
      </c>
      <c r="C86" s="3">
        <v>19.989999999999998</v>
      </c>
    </row>
    <row r="87" spans="1:3" x14ac:dyDescent="0.2">
      <c r="A87" s="1" t="s">
        <v>49</v>
      </c>
      <c r="B87" s="1" t="s">
        <v>39</v>
      </c>
      <c r="C87" s="3">
        <v>149.9</v>
      </c>
    </row>
    <row r="88" spans="1:3" x14ac:dyDescent="0.2">
      <c r="A88" s="1" t="s">
        <v>49</v>
      </c>
      <c r="B88" s="1" t="s">
        <v>16</v>
      </c>
      <c r="C88" s="3">
        <v>215.28</v>
      </c>
    </row>
    <row r="89" spans="1:3" x14ac:dyDescent="0.2">
      <c r="A89" s="1" t="s">
        <v>49</v>
      </c>
      <c r="B89" s="1" t="s">
        <v>18</v>
      </c>
      <c r="C89" s="3">
        <v>1980.88</v>
      </c>
    </row>
    <row r="90" spans="1:3" x14ac:dyDescent="0.2">
      <c r="A90" s="1" t="s">
        <v>49</v>
      </c>
      <c r="B90" s="1" t="s">
        <v>19</v>
      </c>
      <c r="C90" s="3">
        <v>2776.03</v>
      </c>
    </row>
    <row r="91" spans="1:3" x14ac:dyDescent="0.2">
      <c r="A91" s="1" t="s">
        <v>49</v>
      </c>
      <c r="B91" s="1" t="s">
        <v>41</v>
      </c>
      <c r="C91" s="3">
        <v>190.8</v>
      </c>
    </row>
    <row r="92" spans="1:3" x14ac:dyDescent="0.2">
      <c r="A92" s="1" t="s">
        <v>49</v>
      </c>
      <c r="B92" s="1" t="s">
        <v>42</v>
      </c>
      <c r="C92" s="3">
        <v>540</v>
      </c>
    </row>
    <row r="93" spans="1:3" x14ac:dyDescent="0.2">
      <c r="A93" s="1" t="s">
        <v>49</v>
      </c>
      <c r="B93" s="1" t="s">
        <v>44</v>
      </c>
      <c r="C93" s="3">
        <v>753.4</v>
      </c>
    </row>
    <row r="94" spans="1:3" x14ac:dyDescent="0.2">
      <c r="A94" s="1" t="s">
        <v>49</v>
      </c>
      <c r="B94" s="1" t="s">
        <v>20</v>
      </c>
      <c r="C94" s="3">
        <v>408.69</v>
      </c>
    </row>
    <row r="95" spans="1:3" x14ac:dyDescent="0.2">
      <c r="A95" s="1" t="s">
        <v>49</v>
      </c>
      <c r="B95" s="1" t="s">
        <v>21</v>
      </c>
      <c r="C95" s="3">
        <v>390.8</v>
      </c>
    </row>
    <row r="96" spans="1:3" x14ac:dyDescent="0.2">
      <c r="A96" s="1" t="s">
        <v>49</v>
      </c>
      <c r="B96" s="1" t="s">
        <v>22</v>
      </c>
      <c r="C96" s="3">
        <v>180</v>
      </c>
    </row>
    <row r="97" spans="1:3" x14ac:dyDescent="0.2">
      <c r="A97" s="1" t="s">
        <v>49</v>
      </c>
      <c r="B97" s="1" t="s">
        <v>52</v>
      </c>
      <c r="C97" s="3">
        <v>16.100000000000001</v>
      </c>
    </row>
    <row r="98" spans="1:3" x14ac:dyDescent="0.2">
      <c r="A98" s="1" t="s">
        <v>49</v>
      </c>
      <c r="B98" s="1" t="s">
        <v>23</v>
      </c>
      <c r="C98" s="3">
        <v>439</v>
      </c>
    </row>
    <row r="99" spans="1:3" x14ac:dyDescent="0.2">
      <c r="A99" s="1" t="s">
        <v>49</v>
      </c>
      <c r="B99" s="1" t="s">
        <v>47</v>
      </c>
      <c r="C99" s="3">
        <v>184.8</v>
      </c>
    </row>
    <row r="100" spans="1:3" x14ac:dyDescent="0.2">
      <c r="A100" s="1" t="s">
        <v>49</v>
      </c>
      <c r="B100" s="1" t="s">
        <v>24</v>
      </c>
      <c r="C100" s="3">
        <v>94.89</v>
      </c>
    </row>
    <row r="101" spans="1:3" x14ac:dyDescent="0.2">
      <c r="A101" s="1" t="s">
        <v>49</v>
      </c>
      <c r="B101" s="1" t="s">
        <v>48</v>
      </c>
      <c r="C101" s="3">
        <v>374.79</v>
      </c>
    </row>
    <row r="102" spans="1:3" x14ac:dyDescent="0.2">
      <c r="A102" s="1" t="s">
        <v>49</v>
      </c>
      <c r="B102" s="1" t="s">
        <v>26</v>
      </c>
      <c r="C102" s="3">
        <v>1362.6</v>
      </c>
    </row>
    <row r="103" spans="1:3" x14ac:dyDescent="0.2">
      <c r="A103" s="1" t="s">
        <v>49</v>
      </c>
      <c r="B103" s="1" t="s">
        <v>27</v>
      </c>
      <c r="C103" s="3">
        <v>698.99</v>
      </c>
    </row>
    <row r="104" spans="1:3" x14ac:dyDescent="0.2">
      <c r="A104" s="1" t="s">
        <v>49</v>
      </c>
      <c r="B104" s="1" t="s">
        <v>53</v>
      </c>
      <c r="C104" s="3">
        <v>50</v>
      </c>
    </row>
    <row r="105" spans="1:3" x14ac:dyDescent="0.2">
      <c r="A105" s="1" t="s">
        <v>49</v>
      </c>
      <c r="B105" s="1" t="s">
        <v>28</v>
      </c>
      <c r="C105" s="3">
        <v>766</v>
      </c>
    </row>
    <row r="106" spans="1:3" x14ac:dyDescent="0.2">
      <c r="A106" s="1" t="s">
        <v>49</v>
      </c>
      <c r="B106" s="1" t="s">
        <v>29</v>
      </c>
      <c r="C106" s="3">
        <v>721.56</v>
      </c>
    </row>
    <row r="107" spans="1:3" x14ac:dyDescent="0.2">
      <c r="A107" s="1" t="s">
        <v>49</v>
      </c>
      <c r="B107" s="1" t="s">
        <v>30</v>
      </c>
      <c r="C107" s="3">
        <v>1811.35</v>
      </c>
    </row>
    <row r="108" spans="1:3" x14ac:dyDescent="0.2">
      <c r="A108" s="1" t="s">
        <v>54</v>
      </c>
      <c r="B108" s="1" t="s">
        <v>32</v>
      </c>
      <c r="C108" s="3">
        <v>589.99</v>
      </c>
    </row>
    <row r="109" spans="1:3" x14ac:dyDescent="0.2">
      <c r="A109" s="1" t="s">
        <v>54</v>
      </c>
      <c r="B109" s="1" t="s">
        <v>50</v>
      </c>
      <c r="C109" s="3">
        <v>145.88999999999999</v>
      </c>
    </row>
    <row r="110" spans="1:3" x14ac:dyDescent="0.2">
      <c r="A110" s="1" t="s">
        <v>54</v>
      </c>
      <c r="B110" s="1" t="s">
        <v>4</v>
      </c>
      <c r="C110" s="3">
        <v>1216.3900000000001</v>
      </c>
    </row>
    <row r="111" spans="1:3" x14ac:dyDescent="0.2">
      <c r="A111" s="1" t="s">
        <v>54</v>
      </c>
      <c r="B111" s="1" t="s">
        <v>6</v>
      </c>
      <c r="C111" s="3">
        <v>669.5</v>
      </c>
    </row>
    <row r="112" spans="1:3" x14ac:dyDescent="0.2">
      <c r="A112" s="1" t="s">
        <v>54</v>
      </c>
      <c r="B112" s="1" t="s">
        <v>9</v>
      </c>
      <c r="C112" s="3">
        <v>1437</v>
      </c>
    </row>
    <row r="113" spans="1:3" x14ac:dyDescent="0.2">
      <c r="A113" s="1" t="s">
        <v>54</v>
      </c>
      <c r="B113" s="1" t="s">
        <v>10</v>
      </c>
      <c r="C113" s="3">
        <v>2149.52</v>
      </c>
    </row>
    <row r="114" spans="1:3" x14ac:dyDescent="0.2">
      <c r="A114" s="1" t="s">
        <v>54</v>
      </c>
      <c r="B114" s="1" t="s">
        <v>11</v>
      </c>
      <c r="C114" s="3">
        <v>85.95</v>
      </c>
    </row>
    <row r="115" spans="1:3" x14ac:dyDescent="0.2">
      <c r="A115" s="1" t="s">
        <v>54</v>
      </c>
      <c r="B115" s="1" t="s">
        <v>12</v>
      </c>
      <c r="C115" s="3">
        <v>314</v>
      </c>
    </row>
    <row r="116" spans="1:3" x14ac:dyDescent="0.2">
      <c r="A116" s="1" t="s">
        <v>54</v>
      </c>
      <c r="B116" s="1" t="s">
        <v>13</v>
      </c>
      <c r="C116" s="3">
        <v>607.54999999999995</v>
      </c>
    </row>
    <row r="117" spans="1:3" x14ac:dyDescent="0.2">
      <c r="A117" s="1" t="s">
        <v>54</v>
      </c>
      <c r="B117" s="1" t="s">
        <v>38</v>
      </c>
      <c r="C117" s="3">
        <v>232.94</v>
      </c>
    </row>
    <row r="118" spans="1:3" x14ac:dyDescent="0.2">
      <c r="A118" s="1" t="s">
        <v>54</v>
      </c>
      <c r="B118" s="1" t="s">
        <v>16</v>
      </c>
      <c r="C118" s="3">
        <v>270.8</v>
      </c>
    </row>
    <row r="119" spans="1:3" x14ac:dyDescent="0.2">
      <c r="A119" s="1" t="s">
        <v>54</v>
      </c>
      <c r="B119" s="1" t="s">
        <v>18</v>
      </c>
      <c r="C119" s="3">
        <v>239.99</v>
      </c>
    </row>
    <row r="120" spans="1:3" x14ac:dyDescent="0.2">
      <c r="A120" s="1" t="s">
        <v>54</v>
      </c>
      <c r="B120" s="1" t="s">
        <v>19</v>
      </c>
      <c r="C120" s="3">
        <v>1380.58</v>
      </c>
    </row>
    <row r="121" spans="1:3" x14ac:dyDescent="0.2">
      <c r="A121" s="1" t="s">
        <v>54</v>
      </c>
      <c r="B121" s="1" t="s">
        <v>20</v>
      </c>
      <c r="C121" s="3">
        <v>490.49</v>
      </c>
    </row>
    <row r="122" spans="1:3" x14ac:dyDescent="0.2">
      <c r="A122" s="1" t="s">
        <v>54</v>
      </c>
      <c r="B122" s="1" t="s">
        <v>23</v>
      </c>
      <c r="C122" s="3">
        <v>293.89999999999998</v>
      </c>
    </row>
    <row r="123" spans="1:3" x14ac:dyDescent="0.2">
      <c r="A123" s="1" t="s">
        <v>54</v>
      </c>
      <c r="B123" s="1" t="s">
        <v>48</v>
      </c>
      <c r="C123" s="3">
        <v>59.8</v>
      </c>
    </row>
    <row r="124" spans="1:3" x14ac:dyDescent="0.2">
      <c r="A124" s="1" t="s">
        <v>54</v>
      </c>
      <c r="B124" s="1" t="s">
        <v>26</v>
      </c>
      <c r="C124" s="3">
        <v>812.69</v>
      </c>
    </row>
    <row r="125" spans="1:3" x14ac:dyDescent="0.2">
      <c r="A125" s="1" t="s">
        <v>54</v>
      </c>
      <c r="B125" s="1" t="s">
        <v>27</v>
      </c>
      <c r="C125" s="3">
        <v>234.9</v>
      </c>
    </row>
    <row r="126" spans="1:3" x14ac:dyDescent="0.2">
      <c r="A126" s="1" t="s">
        <v>54</v>
      </c>
      <c r="B126" s="1" t="s">
        <v>28</v>
      </c>
      <c r="C126" s="3">
        <v>304.77999999999997</v>
      </c>
    </row>
    <row r="127" spans="1:3" x14ac:dyDescent="0.2">
      <c r="A127" s="1" t="s">
        <v>54</v>
      </c>
      <c r="B127" s="1" t="s">
        <v>29</v>
      </c>
      <c r="C127" s="3">
        <v>297.83999999999997</v>
      </c>
    </row>
    <row r="128" spans="1:3" x14ac:dyDescent="0.2">
      <c r="A128" s="1" t="s">
        <v>54</v>
      </c>
      <c r="B128" s="1" t="s">
        <v>30</v>
      </c>
      <c r="C128" s="3">
        <v>1639.8</v>
      </c>
    </row>
    <row r="129" spans="1:3" x14ac:dyDescent="0.2">
      <c r="A129" s="1" t="s">
        <v>55</v>
      </c>
      <c r="B129" s="1" t="s">
        <v>32</v>
      </c>
      <c r="C129" s="3">
        <v>2257</v>
      </c>
    </row>
    <row r="130" spans="1:3" x14ac:dyDescent="0.2">
      <c r="A130" s="1" t="s">
        <v>55</v>
      </c>
      <c r="B130" s="1" t="s">
        <v>33</v>
      </c>
      <c r="C130" s="3">
        <v>832.86</v>
      </c>
    </row>
    <row r="131" spans="1:3" x14ac:dyDescent="0.2">
      <c r="A131" s="1" t="s">
        <v>55</v>
      </c>
      <c r="B131" s="1" t="s">
        <v>50</v>
      </c>
      <c r="C131" s="3">
        <v>898.95</v>
      </c>
    </row>
    <row r="132" spans="1:3" x14ac:dyDescent="0.2">
      <c r="A132" s="1" t="s">
        <v>55</v>
      </c>
      <c r="B132" s="1" t="s">
        <v>34</v>
      </c>
      <c r="C132" s="3">
        <v>1430.69</v>
      </c>
    </row>
    <row r="133" spans="1:3" x14ac:dyDescent="0.2">
      <c r="A133" s="1" t="s">
        <v>55</v>
      </c>
      <c r="B133" s="1" t="s">
        <v>4</v>
      </c>
      <c r="C133" s="3">
        <v>29762.5</v>
      </c>
    </row>
    <row r="134" spans="1:3" x14ac:dyDescent="0.2">
      <c r="A134" s="1" t="s">
        <v>55</v>
      </c>
      <c r="B134" s="1" t="s">
        <v>5</v>
      </c>
      <c r="C134" s="3">
        <v>15377.33</v>
      </c>
    </row>
    <row r="135" spans="1:3" x14ac:dyDescent="0.2">
      <c r="A135" s="1" t="s">
        <v>55</v>
      </c>
      <c r="B135" s="1" t="s">
        <v>6</v>
      </c>
      <c r="C135" s="3">
        <v>25794.99</v>
      </c>
    </row>
    <row r="136" spans="1:3" x14ac:dyDescent="0.2">
      <c r="A136" s="1" t="s">
        <v>55</v>
      </c>
      <c r="B136" s="1" t="s">
        <v>7</v>
      </c>
      <c r="C136" s="3">
        <v>1017.7</v>
      </c>
    </row>
    <row r="137" spans="1:3" x14ac:dyDescent="0.2">
      <c r="A137" s="1" t="s">
        <v>55</v>
      </c>
      <c r="B137" s="1" t="s">
        <v>56</v>
      </c>
      <c r="C137" s="3">
        <v>77</v>
      </c>
    </row>
    <row r="138" spans="1:3" x14ac:dyDescent="0.2">
      <c r="A138" s="1" t="s">
        <v>55</v>
      </c>
      <c r="B138" s="1" t="s">
        <v>57</v>
      </c>
      <c r="C138" s="3">
        <v>720.52</v>
      </c>
    </row>
    <row r="139" spans="1:3" x14ac:dyDescent="0.2">
      <c r="A139" s="1" t="s">
        <v>55</v>
      </c>
      <c r="B139" s="1" t="s">
        <v>8</v>
      </c>
      <c r="C139" s="3">
        <v>703.21</v>
      </c>
    </row>
    <row r="140" spans="1:3" x14ac:dyDescent="0.2">
      <c r="A140" s="1" t="s">
        <v>55</v>
      </c>
      <c r="B140" s="1" t="s">
        <v>58</v>
      </c>
      <c r="C140" s="3">
        <v>314.85000000000002</v>
      </c>
    </row>
    <row r="141" spans="1:3" x14ac:dyDescent="0.2">
      <c r="A141" s="1" t="s">
        <v>55</v>
      </c>
      <c r="B141" s="1" t="s">
        <v>9</v>
      </c>
      <c r="C141" s="3">
        <v>21043.99</v>
      </c>
    </row>
    <row r="142" spans="1:3" x14ac:dyDescent="0.2">
      <c r="A142" s="1" t="s">
        <v>55</v>
      </c>
      <c r="B142" s="1" t="s">
        <v>10</v>
      </c>
      <c r="C142" s="3">
        <v>33589.910000000003</v>
      </c>
    </row>
    <row r="143" spans="1:3" x14ac:dyDescent="0.2">
      <c r="A143" s="1" t="s">
        <v>55</v>
      </c>
      <c r="B143" s="1" t="s">
        <v>11</v>
      </c>
      <c r="C143" s="3">
        <v>4247.1400000000003</v>
      </c>
    </row>
    <row r="144" spans="1:3" x14ac:dyDescent="0.2">
      <c r="A144" s="1" t="s">
        <v>55</v>
      </c>
      <c r="B144" s="1" t="s">
        <v>35</v>
      </c>
      <c r="C144" s="3">
        <v>4594.7</v>
      </c>
    </row>
    <row r="145" spans="1:3" x14ac:dyDescent="0.2">
      <c r="A145" s="1" t="s">
        <v>55</v>
      </c>
      <c r="B145" s="1" t="s">
        <v>59</v>
      </c>
      <c r="C145" s="3">
        <v>744.06</v>
      </c>
    </row>
    <row r="146" spans="1:3" x14ac:dyDescent="0.2">
      <c r="A146" s="1" t="s">
        <v>55</v>
      </c>
      <c r="B146" s="1" t="s">
        <v>60</v>
      </c>
      <c r="C146" s="3">
        <v>2384.9299999999998</v>
      </c>
    </row>
    <row r="147" spans="1:3" x14ac:dyDescent="0.2">
      <c r="A147" s="1" t="s">
        <v>55</v>
      </c>
      <c r="B147" s="1" t="s">
        <v>12</v>
      </c>
      <c r="C147" s="3">
        <v>23780.04</v>
      </c>
    </row>
    <row r="148" spans="1:3" x14ac:dyDescent="0.2">
      <c r="A148" s="1" t="s">
        <v>55</v>
      </c>
      <c r="B148" s="1" t="s">
        <v>51</v>
      </c>
      <c r="C148" s="3">
        <v>1569.39</v>
      </c>
    </row>
    <row r="149" spans="1:3" x14ac:dyDescent="0.2">
      <c r="A149" s="1" t="s">
        <v>55</v>
      </c>
      <c r="B149" s="1" t="s">
        <v>61</v>
      </c>
      <c r="C149" s="3">
        <v>589.70000000000005</v>
      </c>
    </row>
    <row r="150" spans="1:3" x14ac:dyDescent="0.2">
      <c r="A150" s="1" t="s">
        <v>55</v>
      </c>
      <c r="B150" s="1" t="s">
        <v>62</v>
      </c>
      <c r="C150" s="3">
        <v>38</v>
      </c>
    </row>
    <row r="151" spans="1:3" x14ac:dyDescent="0.2">
      <c r="A151" s="1" t="s">
        <v>55</v>
      </c>
      <c r="B151" s="1" t="s">
        <v>36</v>
      </c>
      <c r="C151" s="3">
        <v>491.23</v>
      </c>
    </row>
    <row r="152" spans="1:3" x14ac:dyDescent="0.2">
      <c r="A152" s="1" t="s">
        <v>55</v>
      </c>
      <c r="B152" s="1" t="s">
        <v>13</v>
      </c>
      <c r="C152" s="3">
        <v>6252.13</v>
      </c>
    </row>
    <row r="153" spans="1:3" x14ac:dyDescent="0.2">
      <c r="A153" s="1" t="s">
        <v>55</v>
      </c>
      <c r="B153" s="1" t="s">
        <v>63</v>
      </c>
      <c r="C153" s="3">
        <v>64.900000000000006</v>
      </c>
    </row>
    <row r="154" spans="1:3" x14ac:dyDescent="0.2">
      <c r="A154" s="1" t="s">
        <v>55</v>
      </c>
      <c r="B154" s="1" t="s">
        <v>14</v>
      </c>
      <c r="C154" s="3">
        <v>6795.79</v>
      </c>
    </row>
    <row r="155" spans="1:3" x14ac:dyDescent="0.2">
      <c r="A155" s="1" t="s">
        <v>55</v>
      </c>
      <c r="B155" s="1" t="s">
        <v>64</v>
      </c>
      <c r="C155" s="3">
        <v>89.99</v>
      </c>
    </row>
    <row r="156" spans="1:3" x14ac:dyDescent="0.2">
      <c r="A156" s="1" t="s">
        <v>55</v>
      </c>
      <c r="B156" s="1" t="s">
        <v>65</v>
      </c>
      <c r="C156" s="3">
        <v>960.8</v>
      </c>
    </row>
    <row r="157" spans="1:3" x14ac:dyDescent="0.2">
      <c r="A157" s="1" t="s">
        <v>55</v>
      </c>
      <c r="B157" s="1" t="s">
        <v>15</v>
      </c>
      <c r="C157" s="3">
        <v>851.5</v>
      </c>
    </row>
    <row r="158" spans="1:3" x14ac:dyDescent="0.2">
      <c r="A158" s="1" t="s">
        <v>55</v>
      </c>
      <c r="B158" s="1" t="s">
        <v>66</v>
      </c>
      <c r="C158" s="3">
        <v>124.89</v>
      </c>
    </row>
    <row r="159" spans="1:3" x14ac:dyDescent="0.2">
      <c r="A159" s="1" t="s">
        <v>55</v>
      </c>
      <c r="B159" s="1" t="s">
        <v>67</v>
      </c>
      <c r="C159" s="3">
        <v>638.70000000000005</v>
      </c>
    </row>
    <row r="160" spans="1:3" x14ac:dyDescent="0.2">
      <c r="A160" s="1" t="s">
        <v>55</v>
      </c>
      <c r="B160" s="1" t="s">
        <v>38</v>
      </c>
      <c r="C160" s="3">
        <v>4131.82</v>
      </c>
    </row>
    <row r="161" spans="1:3" x14ac:dyDescent="0.2">
      <c r="A161" s="1" t="s">
        <v>55</v>
      </c>
      <c r="B161" s="1" t="s">
        <v>39</v>
      </c>
      <c r="C161" s="3">
        <v>991.41</v>
      </c>
    </row>
    <row r="162" spans="1:3" x14ac:dyDescent="0.2">
      <c r="A162" s="1" t="s">
        <v>55</v>
      </c>
      <c r="B162" s="1" t="s">
        <v>40</v>
      </c>
      <c r="C162" s="3">
        <v>550.41999999999996</v>
      </c>
    </row>
    <row r="163" spans="1:3" x14ac:dyDescent="0.2">
      <c r="A163" s="1" t="s">
        <v>55</v>
      </c>
      <c r="B163" s="1" t="s">
        <v>68</v>
      </c>
      <c r="C163" s="3">
        <v>667</v>
      </c>
    </row>
    <row r="164" spans="1:3" x14ac:dyDescent="0.2">
      <c r="A164" s="1" t="s">
        <v>55</v>
      </c>
      <c r="B164" s="1" t="s">
        <v>16</v>
      </c>
      <c r="C164" s="3">
        <v>23425.96</v>
      </c>
    </row>
    <row r="165" spans="1:3" x14ac:dyDescent="0.2">
      <c r="A165" s="1" t="s">
        <v>55</v>
      </c>
      <c r="B165" s="1" t="s">
        <v>17</v>
      </c>
      <c r="C165" s="3">
        <v>2494.4299999999998</v>
      </c>
    </row>
    <row r="166" spans="1:3" x14ac:dyDescent="0.2">
      <c r="A166" s="1" t="s">
        <v>55</v>
      </c>
      <c r="B166" s="1" t="s">
        <v>18</v>
      </c>
      <c r="C166" s="3">
        <v>24228.51</v>
      </c>
    </row>
    <row r="167" spans="1:3" x14ac:dyDescent="0.2">
      <c r="A167" s="1" t="s">
        <v>55</v>
      </c>
      <c r="B167" s="1" t="s">
        <v>19</v>
      </c>
      <c r="C167" s="3">
        <v>51367.91</v>
      </c>
    </row>
    <row r="168" spans="1:3" x14ac:dyDescent="0.2">
      <c r="A168" s="1" t="s">
        <v>55</v>
      </c>
      <c r="B168" s="1" t="s">
        <v>41</v>
      </c>
      <c r="C168" s="3">
        <v>2737.29</v>
      </c>
    </row>
    <row r="169" spans="1:3" x14ac:dyDescent="0.2">
      <c r="A169" s="1" t="s">
        <v>55</v>
      </c>
      <c r="B169" s="1" t="s">
        <v>42</v>
      </c>
      <c r="C169" s="3">
        <v>2053.7800000000002</v>
      </c>
    </row>
    <row r="170" spans="1:3" x14ac:dyDescent="0.2">
      <c r="A170" s="1" t="s">
        <v>55</v>
      </c>
      <c r="B170" s="1" t="s">
        <v>69</v>
      </c>
      <c r="C170" s="3">
        <v>12.9</v>
      </c>
    </row>
    <row r="171" spans="1:3" x14ac:dyDescent="0.2">
      <c r="A171" s="1" t="s">
        <v>55</v>
      </c>
      <c r="B171" s="1" t="s">
        <v>43</v>
      </c>
      <c r="C171" s="3">
        <v>1170.4000000000001</v>
      </c>
    </row>
    <row r="172" spans="1:3" x14ac:dyDescent="0.2">
      <c r="A172" s="1" t="s">
        <v>55</v>
      </c>
      <c r="B172" s="1" t="s">
        <v>44</v>
      </c>
      <c r="C172" s="3">
        <v>2654.23</v>
      </c>
    </row>
    <row r="173" spans="1:3" x14ac:dyDescent="0.2">
      <c r="A173" s="1" t="s">
        <v>55</v>
      </c>
      <c r="B173" s="1" t="s">
        <v>20</v>
      </c>
      <c r="C173" s="3">
        <v>17035.77</v>
      </c>
    </row>
    <row r="174" spans="1:3" x14ac:dyDescent="0.2">
      <c r="A174" s="1" t="s">
        <v>55</v>
      </c>
      <c r="B174" s="1" t="s">
        <v>45</v>
      </c>
      <c r="C174" s="3">
        <v>465</v>
      </c>
    </row>
    <row r="175" spans="1:3" x14ac:dyDescent="0.2">
      <c r="A175" s="1" t="s">
        <v>55</v>
      </c>
      <c r="B175" s="1" t="s">
        <v>46</v>
      </c>
      <c r="C175" s="3">
        <v>201.9</v>
      </c>
    </row>
    <row r="176" spans="1:3" x14ac:dyDescent="0.2">
      <c r="A176" s="1" t="s">
        <v>55</v>
      </c>
      <c r="B176" s="1" t="s">
        <v>21</v>
      </c>
      <c r="C176" s="3">
        <v>3435.83</v>
      </c>
    </row>
    <row r="177" spans="1:3" x14ac:dyDescent="0.2">
      <c r="A177" s="1" t="s">
        <v>55</v>
      </c>
      <c r="B177" s="1" t="s">
        <v>22</v>
      </c>
      <c r="C177" s="3">
        <v>2135.69</v>
      </c>
    </row>
    <row r="178" spans="1:3" x14ac:dyDescent="0.2">
      <c r="A178" s="1" t="s">
        <v>55</v>
      </c>
      <c r="B178" s="1" t="s">
        <v>23</v>
      </c>
      <c r="C178" s="3">
        <v>10033.299999999999</v>
      </c>
    </row>
    <row r="179" spans="1:3" x14ac:dyDescent="0.2">
      <c r="A179" s="1" t="s">
        <v>55</v>
      </c>
      <c r="B179" s="1" t="s">
        <v>47</v>
      </c>
      <c r="C179" s="3">
        <v>14225.83</v>
      </c>
    </row>
    <row r="180" spans="1:3" x14ac:dyDescent="0.2">
      <c r="A180" s="1" t="s">
        <v>55</v>
      </c>
      <c r="B180" s="1" t="s">
        <v>24</v>
      </c>
      <c r="C180" s="3">
        <v>9723.01</v>
      </c>
    </row>
    <row r="181" spans="1:3" x14ac:dyDescent="0.2">
      <c r="A181" s="1" t="s">
        <v>55</v>
      </c>
      <c r="B181" s="1" t="s">
        <v>48</v>
      </c>
      <c r="C181" s="3">
        <v>5823.67</v>
      </c>
    </row>
    <row r="182" spans="1:3" x14ac:dyDescent="0.2">
      <c r="A182" s="1" t="s">
        <v>55</v>
      </c>
      <c r="B182" s="1" t="s">
        <v>70</v>
      </c>
      <c r="C182" s="3">
        <v>725.84</v>
      </c>
    </row>
    <row r="183" spans="1:3" x14ac:dyDescent="0.2">
      <c r="A183" s="1" t="s">
        <v>55</v>
      </c>
      <c r="B183" s="1" t="s">
        <v>25</v>
      </c>
      <c r="C183" s="3">
        <v>3871.96</v>
      </c>
    </row>
    <row r="184" spans="1:3" x14ac:dyDescent="0.2">
      <c r="A184" s="1" t="s">
        <v>55</v>
      </c>
      <c r="B184" s="1" t="s">
        <v>71</v>
      </c>
      <c r="C184" s="3">
        <v>1574.9</v>
      </c>
    </row>
    <row r="185" spans="1:3" x14ac:dyDescent="0.2">
      <c r="A185" s="1" t="s">
        <v>55</v>
      </c>
      <c r="B185" s="1" t="s">
        <v>26</v>
      </c>
      <c r="C185" s="3">
        <v>38644.61</v>
      </c>
    </row>
    <row r="186" spans="1:3" x14ac:dyDescent="0.2">
      <c r="A186" s="1" t="s">
        <v>55</v>
      </c>
      <c r="B186" s="1" t="s">
        <v>27</v>
      </c>
      <c r="C186" s="3">
        <v>7355.95</v>
      </c>
    </row>
    <row r="187" spans="1:3" x14ac:dyDescent="0.2">
      <c r="A187" s="1" t="s">
        <v>55</v>
      </c>
      <c r="B187" s="1" t="s">
        <v>53</v>
      </c>
      <c r="C187" s="3">
        <v>505.8</v>
      </c>
    </row>
    <row r="188" spans="1:3" x14ac:dyDescent="0.2">
      <c r="A188" s="1" t="s">
        <v>55</v>
      </c>
      <c r="B188" s="1" t="s">
        <v>28</v>
      </c>
      <c r="C188" s="3">
        <v>21144.41</v>
      </c>
    </row>
    <row r="189" spans="1:3" x14ac:dyDescent="0.2">
      <c r="A189" s="1" t="s">
        <v>55</v>
      </c>
      <c r="B189" s="1" t="s">
        <v>29</v>
      </c>
      <c r="C189" s="3">
        <v>14707.03</v>
      </c>
    </row>
    <row r="190" spans="1:3" x14ac:dyDescent="0.2">
      <c r="A190" s="1" t="s">
        <v>55</v>
      </c>
      <c r="B190" s="1" t="s">
        <v>30</v>
      </c>
      <c r="C190" s="3">
        <v>48885.59</v>
      </c>
    </row>
    <row r="191" spans="1:3" x14ac:dyDescent="0.2">
      <c r="A191" s="1" t="s">
        <v>72</v>
      </c>
      <c r="B191" s="1" t="s">
        <v>32</v>
      </c>
      <c r="C191" s="3">
        <v>452.9</v>
      </c>
    </row>
    <row r="192" spans="1:3" x14ac:dyDescent="0.2">
      <c r="A192" s="1" t="s">
        <v>72</v>
      </c>
      <c r="B192" s="1" t="s">
        <v>33</v>
      </c>
      <c r="C192" s="3">
        <v>446.16</v>
      </c>
    </row>
    <row r="193" spans="1:3" x14ac:dyDescent="0.2">
      <c r="A193" s="1" t="s">
        <v>72</v>
      </c>
      <c r="B193" s="1" t="s">
        <v>34</v>
      </c>
      <c r="C193" s="3">
        <v>902.89</v>
      </c>
    </row>
    <row r="194" spans="1:3" x14ac:dyDescent="0.2">
      <c r="A194" s="1" t="s">
        <v>72</v>
      </c>
      <c r="B194" s="1" t="s">
        <v>4</v>
      </c>
      <c r="C194" s="3">
        <v>11985.5</v>
      </c>
    </row>
    <row r="195" spans="1:3" x14ac:dyDescent="0.2">
      <c r="A195" s="1" t="s">
        <v>72</v>
      </c>
      <c r="B195" s="1" t="s">
        <v>5</v>
      </c>
      <c r="C195" s="3">
        <v>4548.24</v>
      </c>
    </row>
    <row r="196" spans="1:3" x14ac:dyDescent="0.2">
      <c r="A196" s="1" t="s">
        <v>72</v>
      </c>
      <c r="B196" s="1" t="s">
        <v>6</v>
      </c>
      <c r="C196" s="3">
        <v>7020.79</v>
      </c>
    </row>
    <row r="197" spans="1:3" x14ac:dyDescent="0.2">
      <c r="A197" s="1" t="s">
        <v>72</v>
      </c>
      <c r="B197" s="1" t="s">
        <v>7</v>
      </c>
      <c r="C197" s="3">
        <v>1353.05</v>
      </c>
    </row>
    <row r="198" spans="1:3" x14ac:dyDescent="0.2">
      <c r="A198" s="1" t="s">
        <v>72</v>
      </c>
      <c r="B198" s="1" t="s">
        <v>57</v>
      </c>
      <c r="C198" s="3">
        <v>270.95</v>
      </c>
    </row>
    <row r="199" spans="1:3" x14ac:dyDescent="0.2">
      <c r="A199" s="1" t="s">
        <v>72</v>
      </c>
      <c r="B199" s="1" t="s">
        <v>8</v>
      </c>
      <c r="C199" s="3">
        <v>159.80000000000001</v>
      </c>
    </row>
    <row r="200" spans="1:3" x14ac:dyDescent="0.2">
      <c r="A200" s="1" t="s">
        <v>72</v>
      </c>
      <c r="B200" s="1" t="s">
        <v>9</v>
      </c>
      <c r="C200" s="3">
        <v>7096.79</v>
      </c>
    </row>
    <row r="201" spans="1:3" x14ac:dyDescent="0.2">
      <c r="A201" s="1" t="s">
        <v>72</v>
      </c>
      <c r="B201" s="1" t="s">
        <v>10</v>
      </c>
      <c r="C201" s="3">
        <v>12504.75</v>
      </c>
    </row>
    <row r="202" spans="1:3" x14ac:dyDescent="0.2">
      <c r="A202" s="1" t="s">
        <v>72</v>
      </c>
      <c r="B202" s="1" t="s">
        <v>11</v>
      </c>
      <c r="C202" s="3">
        <v>3664.05</v>
      </c>
    </row>
    <row r="203" spans="1:3" x14ac:dyDescent="0.2">
      <c r="A203" s="1" t="s">
        <v>72</v>
      </c>
      <c r="B203" s="1" t="s">
        <v>35</v>
      </c>
      <c r="C203" s="3">
        <v>1793.06</v>
      </c>
    </row>
    <row r="204" spans="1:3" x14ac:dyDescent="0.2">
      <c r="A204" s="1" t="s">
        <v>72</v>
      </c>
      <c r="B204" s="1" t="s">
        <v>59</v>
      </c>
      <c r="C204" s="3">
        <v>219.9</v>
      </c>
    </row>
    <row r="205" spans="1:3" x14ac:dyDescent="0.2">
      <c r="A205" s="1" t="s">
        <v>72</v>
      </c>
      <c r="B205" s="1" t="s">
        <v>60</v>
      </c>
      <c r="C205" s="3">
        <v>882.63</v>
      </c>
    </row>
    <row r="206" spans="1:3" x14ac:dyDescent="0.2">
      <c r="A206" s="1" t="s">
        <v>72</v>
      </c>
      <c r="B206" s="1" t="s">
        <v>12</v>
      </c>
      <c r="C206" s="3">
        <v>12235.4</v>
      </c>
    </row>
    <row r="207" spans="1:3" x14ac:dyDescent="0.2">
      <c r="A207" s="1" t="s">
        <v>72</v>
      </c>
      <c r="B207" s="1" t="s">
        <v>51</v>
      </c>
      <c r="C207" s="3">
        <v>1988</v>
      </c>
    </row>
    <row r="208" spans="1:3" x14ac:dyDescent="0.2">
      <c r="A208" s="1" t="s">
        <v>72</v>
      </c>
      <c r="B208" s="1" t="s">
        <v>61</v>
      </c>
      <c r="C208" s="3">
        <v>93</v>
      </c>
    </row>
    <row r="209" spans="1:3" x14ac:dyDescent="0.2">
      <c r="A209" s="1" t="s">
        <v>72</v>
      </c>
      <c r="B209" s="1" t="s">
        <v>62</v>
      </c>
      <c r="C209" s="3">
        <v>60</v>
      </c>
    </row>
    <row r="210" spans="1:3" x14ac:dyDescent="0.2">
      <c r="A210" s="1" t="s">
        <v>72</v>
      </c>
      <c r="B210" s="1" t="s">
        <v>36</v>
      </c>
      <c r="C210" s="3">
        <v>150.47</v>
      </c>
    </row>
    <row r="211" spans="1:3" x14ac:dyDescent="0.2">
      <c r="A211" s="1" t="s">
        <v>72</v>
      </c>
      <c r="B211" s="1" t="s">
        <v>13</v>
      </c>
      <c r="C211" s="3">
        <v>3768.9</v>
      </c>
    </row>
    <row r="212" spans="1:3" x14ac:dyDescent="0.2">
      <c r="A212" s="1" t="s">
        <v>72</v>
      </c>
      <c r="B212" s="1" t="s">
        <v>14</v>
      </c>
      <c r="C212" s="3">
        <v>2667.73</v>
      </c>
    </row>
    <row r="213" spans="1:3" x14ac:dyDescent="0.2">
      <c r="A213" s="1" t="s">
        <v>72</v>
      </c>
      <c r="B213" s="1" t="s">
        <v>65</v>
      </c>
      <c r="C213" s="3">
        <v>29.99</v>
      </c>
    </row>
    <row r="214" spans="1:3" x14ac:dyDescent="0.2">
      <c r="A214" s="1" t="s">
        <v>72</v>
      </c>
      <c r="B214" s="1" t="s">
        <v>15</v>
      </c>
      <c r="C214" s="3">
        <v>249.7</v>
      </c>
    </row>
    <row r="215" spans="1:3" x14ac:dyDescent="0.2">
      <c r="A215" s="1" t="s">
        <v>72</v>
      </c>
      <c r="B215" s="1" t="s">
        <v>38</v>
      </c>
      <c r="C215" s="3">
        <v>369.79</v>
      </c>
    </row>
    <row r="216" spans="1:3" x14ac:dyDescent="0.2">
      <c r="A216" s="1" t="s">
        <v>72</v>
      </c>
      <c r="B216" s="1" t="s">
        <v>39</v>
      </c>
      <c r="C216" s="3">
        <v>348.69</v>
      </c>
    </row>
    <row r="217" spans="1:3" x14ac:dyDescent="0.2">
      <c r="A217" s="1" t="s">
        <v>72</v>
      </c>
      <c r="B217" s="1" t="s">
        <v>40</v>
      </c>
      <c r="C217" s="3">
        <v>291.86</v>
      </c>
    </row>
    <row r="218" spans="1:3" x14ac:dyDescent="0.2">
      <c r="A218" s="1" t="s">
        <v>72</v>
      </c>
      <c r="B218" s="1" t="s">
        <v>16</v>
      </c>
      <c r="C218" s="3">
        <v>9216.0400000000009</v>
      </c>
    </row>
    <row r="219" spans="1:3" x14ac:dyDescent="0.2">
      <c r="A219" s="1" t="s">
        <v>72</v>
      </c>
      <c r="B219" s="1" t="s">
        <v>17</v>
      </c>
      <c r="C219" s="3">
        <v>602.98</v>
      </c>
    </row>
    <row r="220" spans="1:3" x14ac:dyDescent="0.2">
      <c r="A220" s="1" t="s">
        <v>72</v>
      </c>
      <c r="B220" s="1" t="s">
        <v>18</v>
      </c>
      <c r="C220" s="3">
        <v>6135.84</v>
      </c>
    </row>
    <row r="221" spans="1:3" x14ac:dyDescent="0.2">
      <c r="A221" s="1" t="s">
        <v>72</v>
      </c>
      <c r="B221" s="1" t="s">
        <v>19</v>
      </c>
      <c r="C221" s="3">
        <v>32419.18</v>
      </c>
    </row>
    <row r="222" spans="1:3" x14ac:dyDescent="0.2">
      <c r="A222" s="1" t="s">
        <v>72</v>
      </c>
      <c r="B222" s="1" t="s">
        <v>41</v>
      </c>
      <c r="C222" s="3">
        <v>1680.9</v>
      </c>
    </row>
    <row r="223" spans="1:3" x14ac:dyDescent="0.2">
      <c r="A223" s="1" t="s">
        <v>72</v>
      </c>
      <c r="B223" s="1" t="s">
        <v>42</v>
      </c>
      <c r="C223" s="3">
        <v>2653.9</v>
      </c>
    </row>
    <row r="224" spans="1:3" x14ac:dyDescent="0.2">
      <c r="A224" s="1" t="s">
        <v>72</v>
      </c>
      <c r="B224" s="1" t="s">
        <v>43</v>
      </c>
      <c r="C224" s="3">
        <v>346.6</v>
      </c>
    </row>
    <row r="225" spans="1:3" x14ac:dyDescent="0.2">
      <c r="A225" s="1" t="s">
        <v>72</v>
      </c>
      <c r="B225" s="1" t="s">
        <v>44</v>
      </c>
      <c r="C225" s="3">
        <v>1581.65</v>
      </c>
    </row>
    <row r="226" spans="1:3" x14ac:dyDescent="0.2">
      <c r="A226" s="1" t="s">
        <v>72</v>
      </c>
      <c r="B226" s="1" t="s">
        <v>20</v>
      </c>
      <c r="C226" s="3">
        <v>7643.31</v>
      </c>
    </row>
    <row r="227" spans="1:3" x14ac:dyDescent="0.2">
      <c r="A227" s="1" t="s">
        <v>72</v>
      </c>
      <c r="B227" s="1" t="s">
        <v>45</v>
      </c>
      <c r="C227" s="3">
        <v>248</v>
      </c>
    </row>
    <row r="228" spans="1:3" x14ac:dyDescent="0.2">
      <c r="A228" s="1" t="s">
        <v>72</v>
      </c>
      <c r="B228" s="1" t="s">
        <v>46</v>
      </c>
      <c r="C228" s="3">
        <v>140</v>
      </c>
    </row>
    <row r="229" spans="1:3" x14ac:dyDescent="0.2">
      <c r="A229" s="1" t="s">
        <v>72</v>
      </c>
      <c r="B229" s="1" t="s">
        <v>21</v>
      </c>
      <c r="C229" s="3">
        <v>3416.5</v>
      </c>
    </row>
    <row r="230" spans="1:3" x14ac:dyDescent="0.2">
      <c r="A230" s="1" t="s">
        <v>72</v>
      </c>
      <c r="B230" s="1" t="s">
        <v>22</v>
      </c>
      <c r="C230" s="3">
        <v>558.35</v>
      </c>
    </row>
    <row r="231" spans="1:3" x14ac:dyDescent="0.2">
      <c r="A231" s="1" t="s">
        <v>72</v>
      </c>
      <c r="B231" s="1" t="s">
        <v>52</v>
      </c>
      <c r="C231" s="3">
        <v>149.9</v>
      </c>
    </row>
    <row r="232" spans="1:3" x14ac:dyDescent="0.2">
      <c r="A232" s="1" t="s">
        <v>72</v>
      </c>
      <c r="B232" s="1" t="s">
        <v>23</v>
      </c>
      <c r="C232" s="3">
        <v>3261.67</v>
      </c>
    </row>
    <row r="233" spans="1:3" x14ac:dyDescent="0.2">
      <c r="A233" s="1" t="s">
        <v>72</v>
      </c>
      <c r="B233" s="1" t="s">
        <v>47</v>
      </c>
      <c r="C233" s="3">
        <v>4716.76</v>
      </c>
    </row>
    <row r="234" spans="1:3" x14ac:dyDescent="0.2">
      <c r="A234" s="1" t="s">
        <v>72</v>
      </c>
      <c r="B234" s="1" t="s">
        <v>24</v>
      </c>
      <c r="C234" s="3">
        <v>8747.73</v>
      </c>
    </row>
    <row r="235" spans="1:3" x14ac:dyDescent="0.2">
      <c r="A235" s="1" t="s">
        <v>72</v>
      </c>
      <c r="B235" s="1" t="s">
        <v>48</v>
      </c>
      <c r="C235" s="3">
        <v>1141.04</v>
      </c>
    </row>
    <row r="236" spans="1:3" x14ac:dyDescent="0.2">
      <c r="A236" s="1" t="s">
        <v>72</v>
      </c>
      <c r="B236" s="1" t="s">
        <v>25</v>
      </c>
      <c r="C236" s="3">
        <v>5043.29</v>
      </c>
    </row>
    <row r="237" spans="1:3" x14ac:dyDescent="0.2">
      <c r="A237" s="1" t="s">
        <v>72</v>
      </c>
      <c r="B237" s="1" t="s">
        <v>26</v>
      </c>
      <c r="C237" s="3">
        <v>10551.62</v>
      </c>
    </row>
    <row r="238" spans="1:3" x14ac:dyDescent="0.2">
      <c r="A238" s="1" t="s">
        <v>72</v>
      </c>
      <c r="B238" s="1" t="s">
        <v>27</v>
      </c>
      <c r="C238" s="3">
        <v>3173.43</v>
      </c>
    </row>
    <row r="239" spans="1:3" x14ac:dyDescent="0.2">
      <c r="A239" s="1" t="s">
        <v>72</v>
      </c>
      <c r="B239" s="1" t="s">
        <v>53</v>
      </c>
      <c r="C239" s="3">
        <v>29.99</v>
      </c>
    </row>
    <row r="240" spans="1:3" x14ac:dyDescent="0.2">
      <c r="A240" s="1" t="s">
        <v>72</v>
      </c>
      <c r="B240" s="1" t="s">
        <v>28</v>
      </c>
      <c r="C240" s="3">
        <v>7539.33</v>
      </c>
    </row>
    <row r="241" spans="1:3" x14ac:dyDescent="0.2">
      <c r="A241" s="1" t="s">
        <v>72</v>
      </c>
      <c r="B241" s="1" t="s">
        <v>29</v>
      </c>
      <c r="C241" s="3">
        <v>7869.8</v>
      </c>
    </row>
    <row r="242" spans="1:3" x14ac:dyDescent="0.2">
      <c r="A242" s="1" t="s">
        <v>72</v>
      </c>
      <c r="B242" s="1" t="s">
        <v>30</v>
      </c>
      <c r="C242" s="3">
        <v>29285.24</v>
      </c>
    </row>
    <row r="243" spans="1:3" x14ac:dyDescent="0.2">
      <c r="A243" s="1" t="s">
        <v>73</v>
      </c>
      <c r="B243" s="1" t="s">
        <v>33</v>
      </c>
      <c r="C243" s="3">
        <v>468</v>
      </c>
    </row>
    <row r="244" spans="1:3" x14ac:dyDescent="0.2">
      <c r="A244" s="1" t="s">
        <v>73</v>
      </c>
      <c r="B244" s="1" t="s">
        <v>50</v>
      </c>
      <c r="C244" s="3">
        <v>565.79</v>
      </c>
    </row>
    <row r="245" spans="1:3" x14ac:dyDescent="0.2">
      <c r="A245" s="1" t="s">
        <v>73</v>
      </c>
      <c r="B245" s="1" t="s">
        <v>74</v>
      </c>
      <c r="C245" s="3">
        <v>129.49</v>
      </c>
    </row>
    <row r="246" spans="1:3" x14ac:dyDescent="0.2">
      <c r="A246" s="1" t="s">
        <v>73</v>
      </c>
      <c r="B246" s="1" t="s">
        <v>34</v>
      </c>
      <c r="C246" s="3">
        <v>2048.23</v>
      </c>
    </row>
    <row r="247" spans="1:3" x14ac:dyDescent="0.2">
      <c r="A247" s="1" t="s">
        <v>73</v>
      </c>
      <c r="B247" s="1" t="s">
        <v>4</v>
      </c>
      <c r="C247" s="3">
        <v>17389.04</v>
      </c>
    </row>
    <row r="248" spans="1:3" x14ac:dyDescent="0.2">
      <c r="A248" s="1" t="s">
        <v>73</v>
      </c>
      <c r="B248" s="1" t="s">
        <v>5</v>
      </c>
      <c r="C248" s="3">
        <v>8621.3700000000008</v>
      </c>
    </row>
    <row r="249" spans="1:3" x14ac:dyDescent="0.2">
      <c r="A249" s="1" t="s">
        <v>73</v>
      </c>
      <c r="B249" s="1" t="s">
        <v>6</v>
      </c>
      <c r="C249" s="3">
        <v>16390.509999999998</v>
      </c>
    </row>
    <row r="250" spans="1:3" x14ac:dyDescent="0.2">
      <c r="A250" s="1" t="s">
        <v>73</v>
      </c>
      <c r="B250" s="1" t="s">
        <v>7</v>
      </c>
      <c r="C250" s="3">
        <v>1245.8900000000001</v>
      </c>
    </row>
    <row r="251" spans="1:3" x14ac:dyDescent="0.2">
      <c r="A251" s="1" t="s">
        <v>73</v>
      </c>
      <c r="B251" s="1" t="s">
        <v>57</v>
      </c>
      <c r="C251" s="3">
        <v>672.8</v>
      </c>
    </row>
    <row r="252" spans="1:3" x14ac:dyDescent="0.2">
      <c r="A252" s="1" t="s">
        <v>73</v>
      </c>
      <c r="B252" s="1" t="s">
        <v>8</v>
      </c>
      <c r="C252" s="3">
        <v>311.2</v>
      </c>
    </row>
    <row r="253" spans="1:3" x14ac:dyDescent="0.2">
      <c r="A253" s="1" t="s">
        <v>73</v>
      </c>
      <c r="B253" s="1" t="s">
        <v>58</v>
      </c>
      <c r="C253" s="3">
        <v>99.95</v>
      </c>
    </row>
    <row r="254" spans="1:3" x14ac:dyDescent="0.2">
      <c r="A254" s="1" t="s">
        <v>73</v>
      </c>
      <c r="B254" s="1" t="s">
        <v>9</v>
      </c>
      <c r="C254" s="3">
        <v>10786.99</v>
      </c>
    </row>
    <row r="255" spans="1:3" x14ac:dyDescent="0.2">
      <c r="A255" s="1" t="s">
        <v>73</v>
      </c>
      <c r="B255" s="1" t="s">
        <v>10</v>
      </c>
      <c r="C255" s="3">
        <v>25029.33</v>
      </c>
    </row>
    <row r="256" spans="1:3" x14ac:dyDescent="0.2">
      <c r="A256" s="1" t="s">
        <v>73</v>
      </c>
      <c r="B256" s="1" t="s">
        <v>11</v>
      </c>
      <c r="C256" s="3">
        <v>2113.37</v>
      </c>
    </row>
    <row r="257" spans="1:3" x14ac:dyDescent="0.2">
      <c r="A257" s="1" t="s">
        <v>73</v>
      </c>
      <c r="B257" s="1" t="s">
        <v>35</v>
      </c>
      <c r="C257" s="3">
        <v>1085.94</v>
      </c>
    </row>
    <row r="258" spans="1:3" x14ac:dyDescent="0.2">
      <c r="A258" s="1" t="s">
        <v>73</v>
      </c>
      <c r="B258" s="1" t="s">
        <v>59</v>
      </c>
      <c r="C258" s="3">
        <v>788</v>
      </c>
    </row>
    <row r="259" spans="1:3" x14ac:dyDescent="0.2">
      <c r="A259" s="1" t="s">
        <v>73</v>
      </c>
      <c r="B259" s="1" t="s">
        <v>60</v>
      </c>
      <c r="C259" s="3">
        <v>520.17999999999995</v>
      </c>
    </row>
    <row r="260" spans="1:3" x14ac:dyDescent="0.2">
      <c r="A260" s="1" t="s">
        <v>73</v>
      </c>
      <c r="B260" s="1" t="s">
        <v>12</v>
      </c>
      <c r="C260" s="3">
        <v>12413.29</v>
      </c>
    </row>
    <row r="261" spans="1:3" x14ac:dyDescent="0.2">
      <c r="A261" s="1" t="s">
        <v>73</v>
      </c>
      <c r="B261" s="1" t="s">
        <v>51</v>
      </c>
      <c r="C261" s="3">
        <v>410.7</v>
      </c>
    </row>
    <row r="262" spans="1:3" x14ac:dyDescent="0.2">
      <c r="A262" s="1" t="s">
        <v>73</v>
      </c>
      <c r="B262" s="1" t="s">
        <v>36</v>
      </c>
      <c r="C262" s="3">
        <v>292.37</v>
      </c>
    </row>
    <row r="263" spans="1:3" x14ac:dyDescent="0.2">
      <c r="A263" s="1" t="s">
        <v>73</v>
      </c>
      <c r="B263" s="1" t="s">
        <v>37</v>
      </c>
      <c r="C263" s="3">
        <v>120.79</v>
      </c>
    </row>
    <row r="264" spans="1:3" x14ac:dyDescent="0.2">
      <c r="A264" s="1" t="s">
        <v>73</v>
      </c>
      <c r="B264" s="1" t="s">
        <v>13</v>
      </c>
      <c r="C264" s="3">
        <v>2458.04</v>
      </c>
    </row>
    <row r="265" spans="1:3" x14ac:dyDescent="0.2">
      <c r="A265" s="1" t="s">
        <v>73</v>
      </c>
      <c r="B265" s="1" t="s">
        <v>63</v>
      </c>
      <c r="C265" s="3">
        <v>129.9</v>
      </c>
    </row>
    <row r="266" spans="1:3" x14ac:dyDescent="0.2">
      <c r="A266" s="1" t="s">
        <v>73</v>
      </c>
      <c r="B266" s="1" t="s">
        <v>14</v>
      </c>
      <c r="C266" s="3">
        <v>3730.08</v>
      </c>
    </row>
    <row r="267" spans="1:3" x14ac:dyDescent="0.2">
      <c r="A267" s="1" t="s">
        <v>73</v>
      </c>
      <c r="B267" s="1" t="s">
        <v>15</v>
      </c>
      <c r="C267" s="3">
        <v>944.59</v>
      </c>
    </row>
    <row r="268" spans="1:3" x14ac:dyDescent="0.2">
      <c r="A268" s="1" t="s">
        <v>73</v>
      </c>
      <c r="B268" s="1" t="s">
        <v>66</v>
      </c>
      <c r="C268" s="3">
        <v>24.99</v>
      </c>
    </row>
    <row r="269" spans="1:3" x14ac:dyDescent="0.2">
      <c r="A269" s="1" t="s">
        <v>73</v>
      </c>
      <c r="B269" s="1" t="s">
        <v>67</v>
      </c>
      <c r="C269" s="3">
        <v>146.15</v>
      </c>
    </row>
    <row r="270" spans="1:3" x14ac:dyDescent="0.2">
      <c r="A270" s="1" t="s">
        <v>73</v>
      </c>
      <c r="B270" s="1" t="s">
        <v>38</v>
      </c>
      <c r="C270" s="3">
        <v>72.98</v>
      </c>
    </row>
    <row r="271" spans="1:3" x14ac:dyDescent="0.2">
      <c r="A271" s="1" t="s">
        <v>73</v>
      </c>
      <c r="B271" s="1" t="s">
        <v>39</v>
      </c>
      <c r="C271" s="3">
        <v>511.08</v>
      </c>
    </row>
    <row r="272" spans="1:3" x14ac:dyDescent="0.2">
      <c r="A272" s="1" t="s">
        <v>73</v>
      </c>
      <c r="B272" s="1" t="s">
        <v>40</v>
      </c>
      <c r="C272" s="3">
        <v>310.79000000000002</v>
      </c>
    </row>
    <row r="273" spans="1:3" x14ac:dyDescent="0.2">
      <c r="A273" s="1" t="s">
        <v>73</v>
      </c>
      <c r="B273" s="1" t="s">
        <v>68</v>
      </c>
      <c r="C273" s="3">
        <v>510</v>
      </c>
    </row>
    <row r="274" spans="1:3" x14ac:dyDescent="0.2">
      <c r="A274" s="1" t="s">
        <v>73</v>
      </c>
      <c r="B274" s="1" t="s">
        <v>16</v>
      </c>
      <c r="C274" s="3">
        <v>12080.71</v>
      </c>
    </row>
    <row r="275" spans="1:3" x14ac:dyDescent="0.2">
      <c r="A275" s="1" t="s">
        <v>73</v>
      </c>
      <c r="B275" s="1" t="s">
        <v>17</v>
      </c>
      <c r="C275" s="3">
        <v>1405.66</v>
      </c>
    </row>
    <row r="276" spans="1:3" x14ac:dyDescent="0.2">
      <c r="A276" s="1" t="s">
        <v>73</v>
      </c>
      <c r="B276" s="1" t="s">
        <v>75</v>
      </c>
      <c r="C276" s="3">
        <v>249</v>
      </c>
    </row>
    <row r="277" spans="1:3" x14ac:dyDescent="0.2">
      <c r="A277" s="1" t="s">
        <v>73</v>
      </c>
      <c r="B277" s="1" t="s">
        <v>18</v>
      </c>
      <c r="C277" s="3">
        <v>9247.14</v>
      </c>
    </row>
    <row r="278" spans="1:3" x14ac:dyDescent="0.2">
      <c r="A278" s="1" t="s">
        <v>73</v>
      </c>
      <c r="B278" s="1" t="s">
        <v>19</v>
      </c>
      <c r="C278" s="3">
        <v>29862.82</v>
      </c>
    </row>
    <row r="279" spans="1:3" x14ac:dyDescent="0.2">
      <c r="A279" s="1" t="s">
        <v>73</v>
      </c>
      <c r="B279" s="1" t="s">
        <v>41</v>
      </c>
      <c r="C279" s="3">
        <v>1802.43</v>
      </c>
    </row>
    <row r="280" spans="1:3" x14ac:dyDescent="0.2">
      <c r="A280" s="1" t="s">
        <v>73</v>
      </c>
      <c r="B280" s="1" t="s">
        <v>42</v>
      </c>
      <c r="C280" s="3">
        <v>2733.9</v>
      </c>
    </row>
    <row r="281" spans="1:3" x14ac:dyDescent="0.2">
      <c r="A281" s="1" t="s">
        <v>73</v>
      </c>
      <c r="B281" s="1" t="s">
        <v>43</v>
      </c>
      <c r="C281" s="3">
        <v>521.5</v>
      </c>
    </row>
    <row r="282" spans="1:3" x14ac:dyDescent="0.2">
      <c r="A282" s="1" t="s">
        <v>73</v>
      </c>
      <c r="B282" s="1" t="s">
        <v>44</v>
      </c>
      <c r="C282" s="3">
        <v>793.64</v>
      </c>
    </row>
    <row r="283" spans="1:3" x14ac:dyDescent="0.2">
      <c r="A283" s="1" t="s">
        <v>73</v>
      </c>
      <c r="B283" s="1" t="s">
        <v>20</v>
      </c>
      <c r="C283" s="3">
        <v>12988.35</v>
      </c>
    </row>
    <row r="284" spans="1:3" x14ac:dyDescent="0.2">
      <c r="A284" s="1" t="s">
        <v>73</v>
      </c>
      <c r="B284" s="1" t="s">
        <v>45</v>
      </c>
      <c r="C284" s="3">
        <v>1272</v>
      </c>
    </row>
    <row r="285" spans="1:3" x14ac:dyDescent="0.2">
      <c r="A285" s="1" t="s">
        <v>73</v>
      </c>
      <c r="B285" s="1" t="s">
        <v>46</v>
      </c>
      <c r="C285" s="3">
        <v>1323.8</v>
      </c>
    </row>
    <row r="286" spans="1:3" x14ac:dyDescent="0.2">
      <c r="A286" s="1" t="s">
        <v>73</v>
      </c>
      <c r="B286" s="1" t="s">
        <v>21</v>
      </c>
      <c r="C286" s="3">
        <v>2776.85</v>
      </c>
    </row>
    <row r="287" spans="1:3" x14ac:dyDescent="0.2">
      <c r="A287" s="1" t="s">
        <v>73</v>
      </c>
      <c r="B287" s="1" t="s">
        <v>22</v>
      </c>
      <c r="C287" s="3">
        <v>326.70999999999998</v>
      </c>
    </row>
    <row r="288" spans="1:3" x14ac:dyDescent="0.2">
      <c r="A288" s="1" t="s">
        <v>73</v>
      </c>
      <c r="B288" s="1" t="s">
        <v>52</v>
      </c>
      <c r="C288" s="3">
        <v>50.35</v>
      </c>
    </row>
    <row r="289" spans="1:3" x14ac:dyDescent="0.2">
      <c r="A289" s="1" t="s">
        <v>73</v>
      </c>
      <c r="B289" s="1" t="s">
        <v>23</v>
      </c>
      <c r="C289" s="3">
        <v>2532.6</v>
      </c>
    </row>
    <row r="290" spans="1:3" x14ac:dyDescent="0.2">
      <c r="A290" s="1" t="s">
        <v>73</v>
      </c>
      <c r="B290" s="1" t="s">
        <v>47</v>
      </c>
      <c r="C290" s="3">
        <v>2997.74</v>
      </c>
    </row>
    <row r="291" spans="1:3" x14ac:dyDescent="0.2">
      <c r="A291" s="1" t="s">
        <v>73</v>
      </c>
      <c r="B291" s="1" t="s">
        <v>76</v>
      </c>
      <c r="C291" s="3">
        <v>231.2</v>
      </c>
    </row>
    <row r="292" spans="1:3" x14ac:dyDescent="0.2">
      <c r="A292" s="1" t="s">
        <v>73</v>
      </c>
      <c r="B292" s="1" t="s">
        <v>24</v>
      </c>
      <c r="C292" s="3">
        <v>9948.0400000000009</v>
      </c>
    </row>
    <row r="293" spans="1:3" x14ac:dyDescent="0.2">
      <c r="A293" s="1" t="s">
        <v>73</v>
      </c>
      <c r="B293" s="1" t="s">
        <v>48</v>
      </c>
      <c r="C293" s="3">
        <v>5037.71</v>
      </c>
    </row>
    <row r="294" spans="1:3" x14ac:dyDescent="0.2">
      <c r="A294" s="1" t="s">
        <v>73</v>
      </c>
      <c r="B294" s="1" t="s">
        <v>77</v>
      </c>
      <c r="C294" s="3">
        <v>100</v>
      </c>
    </row>
    <row r="295" spans="1:3" x14ac:dyDescent="0.2">
      <c r="A295" s="1" t="s">
        <v>73</v>
      </c>
      <c r="B295" s="1" t="s">
        <v>70</v>
      </c>
      <c r="C295" s="3">
        <v>626.03</v>
      </c>
    </row>
    <row r="296" spans="1:3" x14ac:dyDescent="0.2">
      <c r="A296" s="1" t="s">
        <v>73</v>
      </c>
      <c r="B296" s="1" t="s">
        <v>25</v>
      </c>
      <c r="C296" s="3">
        <v>11437.13</v>
      </c>
    </row>
    <row r="297" spans="1:3" x14ac:dyDescent="0.2">
      <c r="A297" s="1" t="s">
        <v>73</v>
      </c>
      <c r="B297" s="1" t="s">
        <v>71</v>
      </c>
      <c r="C297" s="3">
        <v>750</v>
      </c>
    </row>
    <row r="298" spans="1:3" x14ac:dyDescent="0.2">
      <c r="A298" s="1" t="s">
        <v>73</v>
      </c>
      <c r="B298" s="1" t="s">
        <v>26</v>
      </c>
      <c r="C298" s="3">
        <v>22846.17</v>
      </c>
    </row>
    <row r="299" spans="1:3" x14ac:dyDescent="0.2">
      <c r="A299" s="1" t="s">
        <v>73</v>
      </c>
      <c r="B299" s="1" t="s">
        <v>27</v>
      </c>
      <c r="C299" s="3">
        <v>4853.09</v>
      </c>
    </row>
    <row r="300" spans="1:3" x14ac:dyDescent="0.2">
      <c r="A300" s="1" t="s">
        <v>73</v>
      </c>
      <c r="B300" s="1" t="s">
        <v>28</v>
      </c>
      <c r="C300" s="3">
        <v>6243.51</v>
      </c>
    </row>
    <row r="301" spans="1:3" x14ac:dyDescent="0.2">
      <c r="A301" s="1" t="s">
        <v>73</v>
      </c>
      <c r="B301" s="1" t="s">
        <v>29</v>
      </c>
      <c r="C301" s="3">
        <v>11791.85</v>
      </c>
    </row>
    <row r="302" spans="1:3" x14ac:dyDescent="0.2">
      <c r="A302" s="1" t="s">
        <v>73</v>
      </c>
      <c r="B302" s="1" t="s">
        <v>30</v>
      </c>
      <c r="C302" s="3">
        <v>32730.37</v>
      </c>
    </row>
    <row r="303" spans="1:3" x14ac:dyDescent="0.2">
      <c r="A303" s="1" t="s">
        <v>78</v>
      </c>
      <c r="B303" s="1" t="s">
        <v>32</v>
      </c>
      <c r="C303" s="3">
        <v>442.3</v>
      </c>
    </row>
    <row r="304" spans="1:3" x14ac:dyDescent="0.2">
      <c r="A304" s="1" t="s">
        <v>78</v>
      </c>
      <c r="B304" s="1" t="s">
        <v>33</v>
      </c>
      <c r="C304" s="3">
        <v>898.8</v>
      </c>
    </row>
    <row r="305" spans="1:3" x14ac:dyDescent="0.2">
      <c r="A305" s="1" t="s">
        <v>78</v>
      </c>
      <c r="B305" s="1" t="s">
        <v>50</v>
      </c>
      <c r="C305" s="3">
        <v>49.9</v>
      </c>
    </row>
    <row r="306" spans="1:3" x14ac:dyDescent="0.2">
      <c r="A306" s="1" t="s">
        <v>78</v>
      </c>
      <c r="B306" s="1" t="s">
        <v>34</v>
      </c>
      <c r="C306" s="3">
        <v>1197.78</v>
      </c>
    </row>
    <row r="307" spans="1:3" x14ac:dyDescent="0.2">
      <c r="A307" s="1" t="s">
        <v>78</v>
      </c>
      <c r="B307" s="1" t="s">
        <v>4</v>
      </c>
      <c r="C307" s="3">
        <v>12145.66</v>
      </c>
    </row>
    <row r="308" spans="1:3" x14ac:dyDescent="0.2">
      <c r="A308" s="1" t="s">
        <v>78</v>
      </c>
      <c r="B308" s="1" t="s">
        <v>5</v>
      </c>
      <c r="C308" s="3">
        <v>8370.65</v>
      </c>
    </row>
    <row r="309" spans="1:3" x14ac:dyDescent="0.2">
      <c r="A309" s="1" t="s">
        <v>78</v>
      </c>
      <c r="B309" s="1" t="s">
        <v>6</v>
      </c>
      <c r="C309" s="3">
        <v>22678.65</v>
      </c>
    </row>
    <row r="310" spans="1:3" x14ac:dyDescent="0.2">
      <c r="A310" s="1" t="s">
        <v>78</v>
      </c>
      <c r="B310" s="1" t="s">
        <v>7</v>
      </c>
      <c r="C310" s="3">
        <v>1594.85</v>
      </c>
    </row>
    <row r="311" spans="1:3" x14ac:dyDescent="0.2">
      <c r="A311" s="1" t="s">
        <v>78</v>
      </c>
      <c r="B311" s="1" t="s">
        <v>57</v>
      </c>
      <c r="C311" s="3">
        <v>1138.5999999999999</v>
      </c>
    </row>
    <row r="312" spans="1:3" x14ac:dyDescent="0.2">
      <c r="A312" s="1" t="s">
        <v>78</v>
      </c>
      <c r="B312" s="1" t="s">
        <v>8</v>
      </c>
      <c r="C312" s="3">
        <v>126.22</v>
      </c>
    </row>
    <row r="313" spans="1:3" x14ac:dyDescent="0.2">
      <c r="A313" s="1" t="s">
        <v>78</v>
      </c>
      <c r="B313" s="1" t="s">
        <v>58</v>
      </c>
      <c r="C313" s="3">
        <v>94.9</v>
      </c>
    </row>
    <row r="314" spans="1:3" x14ac:dyDescent="0.2">
      <c r="A314" s="1" t="s">
        <v>78</v>
      </c>
      <c r="B314" s="1" t="s">
        <v>9</v>
      </c>
      <c r="C314" s="3">
        <v>8058</v>
      </c>
    </row>
    <row r="315" spans="1:3" x14ac:dyDescent="0.2">
      <c r="A315" s="1" t="s">
        <v>78</v>
      </c>
      <c r="B315" s="1" t="s">
        <v>10</v>
      </c>
      <c r="C315" s="3">
        <v>14840.67</v>
      </c>
    </row>
    <row r="316" spans="1:3" x14ac:dyDescent="0.2">
      <c r="A316" s="1" t="s">
        <v>78</v>
      </c>
      <c r="B316" s="1" t="s">
        <v>11</v>
      </c>
      <c r="C316" s="3">
        <v>3525.02</v>
      </c>
    </row>
    <row r="317" spans="1:3" x14ac:dyDescent="0.2">
      <c r="A317" s="1" t="s">
        <v>78</v>
      </c>
      <c r="B317" s="1" t="s">
        <v>35</v>
      </c>
      <c r="C317" s="3">
        <v>2696.38</v>
      </c>
    </row>
    <row r="318" spans="1:3" x14ac:dyDescent="0.2">
      <c r="A318" s="1" t="s">
        <v>78</v>
      </c>
      <c r="B318" s="1" t="s">
        <v>59</v>
      </c>
      <c r="C318" s="3">
        <v>1012.3</v>
      </c>
    </row>
    <row r="319" spans="1:3" x14ac:dyDescent="0.2">
      <c r="A319" s="1" t="s">
        <v>78</v>
      </c>
      <c r="B319" s="1" t="s">
        <v>12</v>
      </c>
      <c r="C319" s="3">
        <v>10909.83</v>
      </c>
    </row>
    <row r="320" spans="1:3" x14ac:dyDescent="0.2">
      <c r="A320" s="1" t="s">
        <v>78</v>
      </c>
      <c r="B320" s="1" t="s">
        <v>51</v>
      </c>
      <c r="C320" s="3">
        <v>489.8</v>
      </c>
    </row>
    <row r="321" spans="1:3" x14ac:dyDescent="0.2">
      <c r="A321" s="1" t="s">
        <v>78</v>
      </c>
      <c r="B321" s="1" t="s">
        <v>61</v>
      </c>
      <c r="C321" s="3">
        <v>513.99</v>
      </c>
    </row>
    <row r="322" spans="1:3" x14ac:dyDescent="0.2">
      <c r="A322" s="1" t="s">
        <v>78</v>
      </c>
      <c r="B322" s="1" t="s">
        <v>36</v>
      </c>
      <c r="C322" s="3">
        <v>546.41999999999996</v>
      </c>
    </row>
    <row r="323" spans="1:3" x14ac:dyDescent="0.2">
      <c r="A323" s="1" t="s">
        <v>78</v>
      </c>
      <c r="B323" s="1" t="s">
        <v>13</v>
      </c>
      <c r="C323" s="3">
        <v>3716.14</v>
      </c>
    </row>
    <row r="324" spans="1:3" x14ac:dyDescent="0.2">
      <c r="A324" s="1" t="s">
        <v>78</v>
      </c>
      <c r="B324" s="1" t="s">
        <v>63</v>
      </c>
      <c r="C324" s="3">
        <v>115</v>
      </c>
    </row>
    <row r="325" spans="1:3" x14ac:dyDescent="0.2">
      <c r="A325" s="1" t="s">
        <v>78</v>
      </c>
      <c r="B325" s="1" t="s">
        <v>14</v>
      </c>
      <c r="C325" s="3">
        <v>3569.94</v>
      </c>
    </row>
    <row r="326" spans="1:3" x14ac:dyDescent="0.2">
      <c r="A326" s="1" t="s">
        <v>78</v>
      </c>
      <c r="B326" s="1" t="s">
        <v>65</v>
      </c>
      <c r="C326" s="3">
        <v>445.8</v>
      </c>
    </row>
    <row r="327" spans="1:3" x14ac:dyDescent="0.2">
      <c r="A327" s="1" t="s">
        <v>78</v>
      </c>
      <c r="B327" s="1" t="s">
        <v>15</v>
      </c>
      <c r="C327" s="3">
        <v>780.3</v>
      </c>
    </row>
    <row r="328" spans="1:3" x14ac:dyDescent="0.2">
      <c r="A328" s="1" t="s">
        <v>78</v>
      </c>
      <c r="B328" s="1" t="s">
        <v>67</v>
      </c>
      <c r="C328" s="3">
        <v>110</v>
      </c>
    </row>
    <row r="329" spans="1:3" x14ac:dyDescent="0.2">
      <c r="A329" s="1" t="s">
        <v>78</v>
      </c>
      <c r="B329" s="1" t="s">
        <v>38</v>
      </c>
      <c r="C329" s="3">
        <v>8213.7800000000007</v>
      </c>
    </row>
    <row r="330" spans="1:3" x14ac:dyDescent="0.2">
      <c r="A330" s="1" t="s">
        <v>78</v>
      </c>
      <c r="B330" s="1" t="s">
        <v>79</v>
      </c>
      <c r="C330" s="3">
        <v>77.89</v>
      </c>
    </row>
    <row r="331" spans="1:3" x14ac:dyDescent="0.2">
      <c r="A331" s="1" t="s">
        <v>78</v>
      </c>
      <c r="B331" s="1" t="s">
        <v>39</v>
      </c>
      <c r="C331" s="3">
        <v>963.69</v>
      </c>
    </row>
    <row r="332" spans="1:3" x14ac:dyDescent="0.2">
      <c r="A332" s="1" t="s">
        <v>78</v>
      </c>
      <c r="B332" s="1" t="s">
        <v>40</v>
      </c>
      <c r="C332" s="3">
        <v>311</v>
      </c>
    </row>
    <row r="333" spans="1:3" x14ac:dyDescent="0.2">
      <c r="A333" s="1" t="s">
        <v>78</v>
      </c>
      <c r="B333" s="1" t="s">
        <v>68</v>
      </c>
      <c r="C333" s="3">
        <v>99.9</v>
      </c>
    </row>
    <row r="334" spans="1:3" x14ac:dyDescent="0.2">
      <c r="A334" s="1" t="s">
        <v>78</v>
      </c>
      <c r="B334" s="1" t="s">
        <v>16</v>
      </c>
      <c r="C334" s="3">
        <v>12912.72</v>
      </c>
    </row>
    <row r="335" spans="1:3" x14ac:dyDescent="0.2">
      <c r="A335" s="1" t="s">
        <v>78</v>
      </c>
      <c r="B335" s="1" t="s">
        <v>17</v>
      </c>
      <c r="C335" s="3">
        <v>1441.32</v>
      </c>
    </row>
    <row r="336" spans="1:3" x14ac:dyDescent="0.2">
      <c r="A336" s="1" t="s">
        <v>78</v>
      </c>
      <c r="B336" s="1" t="s">
        <v>18</v>
      </c>
      <c r="C336" s="3">
        <v>10732.53</v>
      </c>
    </row>
    <row r="337" spans="1:3" x14ac:dyDescent="0.2">
      <c r="A337" s="1" t="s">
        <v>78</v>
      </c>
      <c r="B337" s="1" t="s">
        <v>19</v>
      </c>
      <c r="C337" s="3">
        <v>20214.490000000002</v>
      </c>
    </row>
    <row r="338" spans="1:3" x14ac:dyDescent="0.2">
      <c r="A338" s="1" t="s">
        <v>78</v>
      </c>
      <c r="B338" s="1" t="s">
        <v>41</v>
      </c>
      <c r="C338" s="3">
        <v>1120.96</v>
      </c>
    </row>
    <row r="339" spans="1:3" x14ac:dyDescent="0.2">
      <c r="A339" s="1" t="s">
        <v>78</v>
      </c>
      <c r="B339" s="1" t="s">
        <v>42</v>
      </c>
      <c r="C339" s="3">
        <v>1149.99</v>
      </c>
    </row>
    <row r="340" spans="1:3" x14ac:dyDescent="0.2">
      <c r="A340" s="1" t="s">
        <v>78</v>
      </c>
      <c r="B340" s="1" t="s">
        <v>69</v>
      </c>
      <c r="C340" s="3">
        <v>12.9</v>
      </c>
    </row>
    <row r="341" spans="1:3" x14ac:dyDescent="0.2">
      <c r="A341" s="1" t="s">
        <v>78</v>
      </c>
      <c r="B341" s="1" t="s">
        <v>43</v>
      </c>
      <c r="C341" s="3">
        <v>1538.18</v>
      </c>
    </row>
    <row r="342" spans="1:3" x14ac:dyDescent="0.2">
      <c r="A342" s="1" t="s">
        <v>78</v>
      </c>
      <c r="B342" s="1" t="s">
        <v>44</v>
      </c>
      <c r="C342" s="3">
        <v>2148.6999999999998</v>
      </c>
    </row>
    <row r="343" spans="1:3" x14ac:dyDescent="0.2">
      <c r="A343" s="1" t="s">
        <v>78</v>
      </c>
      <c r="B343" s="1" t="s">
        <v>20</v>
      </c>
      <c r="C343" s="3">
        <v>12091.62</v>
      </c>
    </row>
    <row r="344" spans="1:3" x14ac:dyDescent="0.2">
      <c r="A344" s="1" t="s">
        <v>78</v>
      </c>
      <c r="B344" s="1" t="s">
        <v>45</v>
      </c>
      <c r="C344" s="3">
        <v>136</v>
      </c>
    </row>
    <row r="345" spans="1:3" x14ac:dyDescent="0.2">
      <c r="A345" s="1" t="s">
        <v>78</v>
      </c>
      <c r="B345" s="1" t="s">
        <v>46</v>
      </c>
      <c r="C345" s="3">
        <v>48</v>
      </c>
    </row>
    <row r="346" spans="1:3" x14ac:dyDescent="0.2">
      <c r="A346" s="1" t="s">
        <v>78</v>
      </c>
      <c r="B346" s="1" t="s">
        <v>21</v>
      </c>
      <c r="C346" s="3">
        <v>2553.48</v>
      </c>
    </row>
    <row r="347" spans="1:3" x14ac:dyDescent="0.2">
      <c r="A347" s="1" t="s">
        <v>78</v>
      </c>
      <c r="B347" s="1" t="s">
        <v>22</v>
      </c>
      <c r="C347" s="3">
        <v>828.78</v>
      </c>
    </row>
    <row r="348" spans="1:3" x14ac:dyDescent="0.2">
      <c r="A348" s="1" t="s">
        <v>78</v>
      </c>
      <c r="B348" s="1" t="s">
        <v>23</v>
      </c>
      <c r="C348" s="3">
        <v>5247.38</v>
      </c>
    </row>
    <row r="349" spans="1:3" x14ac:dyDescent="0.2">
      <c r="A349" s="1" t="s">
        <v>78</v>
      </c>
      <c r="B349" s="1" t="s">
        <v>47</v>
      </c>
      <c r="C349" s="3">
        <v>5172.8</v>
      </c>
    </row>
    <row r="350" spans="1:3" x14ac:dyDescent="0.2">
      <c r="A350" s="1" t="s">
        <v>78</v>
      </c>
      <c r="B350" s="1" t="s">
        <v>76</v>
      </c>
      <c r="C350" s="3">
        <v>62.5</v>
      </c>
    </row>
    <row r="351" spans="1:3" x14ac:dyDescent="0.2">
      <c r="A351" s="1" t="s">
        <v>78</v>
      </c>
      <c r="B351" s="1" t="s">
        <v>24</v>
      </c>
      <c r="C351" s="3">
        <v>6577.55</v>
      </c>
    </row>
    <row r="352" spans="1:3" x14ac:dyDescent="0.2">
      <c r="A352" s="1" t="s">
        <v>78</v>
      </c>
      <c r="B352" s="1" t="s">
        <v>48</v>
      </c>
      <c r="C352" s="3">
        <v>2171.08</v>
      </c>
    </row>
    <row r="353" spans="1:3" x14ac:dyDescent="0.2">
      <c r="A353" s="1" t="s">
        <v>78</v>
      </c>
      <c r="B353" s="1" t="s">
        <v>70</v>
      </c>
      <c r="C353" s="3">
        <v>859.9</v>
      </c>
    </row>
    <row r="354" spans="1:3" x14ac:dyDescent="0.2">
      <c r="A354" s="1" t="s">
        <v>78</v>
      </c>
      <c r="B354" s="1" t="s">
        <v>25</v>
      </c>
      <c r="C354" s="3">
        <v>668.75</v>
      </c>
    </row>
    <row r="355" spans="1:3" x14ac:dyDescent="0.2">
      <c r="A355" s="1" t="s">
        <v>78</v>
      </c>
      <c r="B355" s="1" t="s">
        <v>26</v>
      </c>
      <c r="C355" s="3">
        <v>20113.189999999999</v>
      </c>
    </row>
    <row r="356" spans="1:3" x14ac:dyDescent="0.2">
      <c r="A356" s="1" t="s">
        <v>78</v>
      </c>
      <c r="B356" s="1" t="s">
        <v>27</v>
      </c>
      <c r="C356" s="3">
        <v>5503.36</v>
      </c>
    </row>
    <row r="357" spans="1:3" x14ac:dyDescent="0.2">
      <c r="A357" s="1" t="s">
        <v>78</v>
      </c>
      <c r="B357" s="1" t="s">
        <v>53</v>
      </c>
      <c r="C357" s="3">
        <v>1026.79</v>
      </c>
    </row>
    <row r="358" spans="1:3" x14ac:dyDescent="0.2">
      <c r="A358" s="1" t="s">
        <v>78</v>
      </c>
      <c r="B358" s="1" t="s">
        <v>28</v>
      </c>
      <c r="C358" s="3">
        <v>9323.35</v>
      </c>
    </row>
    <row r="359" spans="1:3" x14ac:dyDescent="0.2">
      <c r="A359" s="1" t="s">
        <v>78</v>
      </c>
      <c r="B359" s="1" t="s">
        <v>29</v>
      </c>
      <c r="C359" s="3">
        <v>10571.56</v>
      </c>
    </row>
    <row r="360" spans="1:3" x14ac:dyDescent="0.2">
      <c r="A360" s="1" t="s">
        <v>78</v>
      </c>
      <c r="B360" s="1" t="s">
        <v>30</v>
      </c>
      <c r="C360" s="3">
        <v>29461</v>
      </c>
    </row>
    <row r="361" spans="1:3" x14ac:dyDescent="0.2">
      <c r="A361" s="1" t="s">
        <v>80</v>
      </c>
      <c r="B361" s="1" t="s">
        <v>32</v>
      </c>
      <c r="C361" s="3">
        <v>2298.39</v>
      </c>
    </row>
    <row r="362" spans="1:3" x14ac:dyDescent="0.2">
      <c r="A362" s="1" t="s">
        <v>80</v>
      </c>
      <c r="B362" s="1" t="s">
        <v>33</v>
      </c>
      <c r="C362" s="3">
        <v>940.89</v>
      </c>
    </row>
    <row r="363" spans="1:3" x14ac:dyDescent="0.2">
      <c r="A363" s="1" t="s">
        <v>80</v>
      </c>
      <c r="B363" s="1" t="s">
        <v>50</v>
      </c>
      <c r="C363" s="3">
        <v>409.57</v>
      </c>
    </row>
    <row r="364" spans="1:3" x14ac:dyDescent="0.2">
      <c r="A364" s="1" t="s">
        <v>80</v>
      </c>
      <c r="B364" s="1" t="s">
        <v>34</v>
      </c>
      <c r="C364" s="3">
        <v>1974.88</v>
      </c>
    </row>
    <row r="365" spans="1:3" x14ac:dyDescent="0.2">
      <c r="A365" s="1" t="s">
        <v>80</v>
      </c>
      <c r="B365" s="1" t="s">
        <v>4</v>
      </c>
      <c r="C365" s="3">
        <v>11360.75</v>
      </c>
    </row>
    <row r="366" spans="1:3" x14ac:dyDescent="0.2">
      <c r="A366" s="1" t="s">
        <v>80</v>
      </c>
      <c r="B366" s="1" t="s">
        <v>5</v>
      </c>
      <c r="C366" s="3">
        <v>9631.8700000000008</v>
      </c>
    </row>
    <row r="367" spans="1:3" x14ac:dyDescent="0.2">
      <c r="A367" s="1" t="s">
        <v>80</v>
      </c>
      <c r="B367" s="1" t="s">
        <v>6</v>
      </c>
      <c r="C367" s="3">
        <v>22645.31</v>
      </c>
    </row>
    <row r="368" spans="1:3" x14ac:dyDescent="0.2">
      <c r="A368" s="1" t="s">
        <v>80</v>
      </c>
      <c r="B368" s="1" t="s">
        <v>7</v>
      </c>
      <c r="C368" s="3">
        <v>2062.59</v>
      </c>
    </row>
    <row r="369" spans="1:3" x14ac:dyDescent="0.2">
      <c r="A369" s="1" t="s">
        <v>80</v>
      </c>
      <c r="B369" s="1" t="s">
        <v>57</v>
      </c>
      <c r="C369" s="3">
        <v>196.65</v>
      </c>
    </row>
    <row r="370" spans="1:3" x14ac:dyDescent="0.2">
      <c r="A370" s="1" t="s">
        <v>80</v>
      </c>
      <c r="B370" s="1" t="s">
        <v>8</v>
      </c>
      <c r="C370" s="3">
        <v>361.7</v>
      </c>
    </row>
    <row r="371" spans="1:3" x14ac:dyDescent="0.2">
      <c r="A371" s="1" t="s">
        <v>80</v>
      </c>
      <c r="B371" s="1" t="s">
        <v>58</v>
      </c>
      <c r="C371" s="3">
        <v>119</v>
      </c>
    </row>
    <row r="372" spans="1:3" x14ac:dyDescent="0.2">
      <c r="A372" s="1" t="s">
        <v>80</v>
      </c>
      <c r="B372" s="1" t="s">
        <v>9</v>
      </c>
      <c r="C372" s="3">
        <v>3559.97</v>
      </c>
    </row>
    <row r="373" spans="1:3" x14ac:dyDescent="0.2">
      <c r="A373" s="1" t="s">
        <v>80</v>
      </c>
      <c r="B373" s="1" t="s">
        <v>10</v>
      </c>
      <c r="C373" s="3">
        <v>13856.23</v>
      </c>
    </row>
    <row r="374" spans="1:3" x14ac:dyDescent="0.2">
      <c r="A374" s="1" t="s">
        <v>80</v>
      </c>
      <c r="B374" s="1" t="s">
        <v>11</v>
      </c>
      <c r="C374" s="3">
        <v>2386.84</v>
      </c>
    </row>
    <row r="375" spans="1:3" x14ac:dyDescent="0.2">
      <c r="A375" s="1" t="s">
        <v>80</v>
      </c>
      <c r="B375" s="1" t="s">
        <v>35</v>
      </c>
      <c r="C375" s="3">
        <v>1233.1600000000001</v>
      </c>
    </row>
    <row r="376" spans="1:3" x14ac:dyDescent="0.2">
      <c r="A376" s="1" t="s">
        <v>80</v>
      </c>
      <c r="B376" s="1" t="s">
        <v>59</v>
      </c>
      <c r="C376" s="3">
        <v>985</v>
      </c>
    </row>
    <row r="377" spans="1:3" x14ac:dyDescent="0.2">
      <c r="A377" s="1" t="s">
        <v>80</v>
      </c>
      <c r="B377" s="1" t="s">
        <v>60</v>
      </c>
      <c r="C377" s="3">
        <v>622.4</v>
      </c>
    </row>
    <row r="378" spans="1:3" x14ac:dyDescent="0.2">
      <c r="A378" s="1" t="s">
        <v>80</v>
      </c>
      <c r="B378" s="1" t="s">
        <v>12</v>
      </c>
      <c r="C378" s="3">
        <v>22528.09</v>
      </c>
    </row>
    <row r="379" spans="1:3" x14ac:dyDescent="0.2">
      <c r="A379" s="1" t="s">
        <v>80</v>
      </c>
      <c r="B379" s="1" t="s">
        <v>51</v>
      </c>
      <c r="C379" s="3">
        <v>330.7</v>
      </c>
    </row>
    <row r="380" spans="1:3" x14ac:dyDescent="0.2">
      <c r="A380" s="1" t="s">
        <v>80</v>
      </c>
      <c r="B380" s="1" t="s">
        <v>61</v>
      </c>
      <c r="C380" s="3">
        <v>2529.5</v>
      </c>
    </row>
    <row r="381" spans="1:3" x14ac:dyDescent="0.2">
      <c r="A381" s="1" t="s">
        <v>80</v>
      </c>
      <c r="B381" s="1" t="s">
        <v>36</v>
      </c>
      <c r="C381" s="3">
        <v>385.57</v>
      </c>
    </row>
    <row r="382" spans="1:3" x14ac:dyDescent="0.2">
      <c r="A382" s="1" t="s">
        <v>80</v>
      </c>
      <c r="B382" s="1" t="s">
        <v>37</v>
      </c>
      <c r="C382" s="3">
        <v>19.899999999999999</v>
      </c>
    </row>
    <row r="383" spans="1:3" x14ac:dyDescent="0.2">
      <c r="A383" s="1" t="s">
        <v>80</v>
      </c>
      <c r="B383" s="1" t="s">
        <v>13</v>
      </c>
      <c r="C383" s="3">
        <v>854.75</v>
      </c>
    </row>
    <row r="384" spans="1:3" x14ac:dyDescent="0.2">
      <c r="A384" s="1" t="s">
        <v>80</v>
      </c>
      <c r="B384" s="1" t="s">
        <v>63</v>
      </c>
      <c r="C384" s="3">
        <v>204.8</v>
      </c>
    </row>
    <row r="385" spans="1:3" x14ac:dyDescent="0.2">
      <c r="A385" s="1" t="s">
        <v>80</v>
      </c>
      <c r="B385" s="1" t="s">
        <v>14</v>
      </c>
      <c r="C385" s="3">
        <v>3160.69</v>
      </c>
    </row>
    <row r="386" spans="1:3" x14ac:dyDescent="0.2">
      <c r="A386" s="1" t="s">
        <v>80</v>
      </c>
      <c r="B386" s="1" t="s">
        <v>65</v>
      </c>
      <c r="C386" s="3">
        <v>308.60000000000002</v>
      </c>
    </row>
    <row r="387" spans="1:3" x14ac:dyDescent="0.2">
      <c r="A387" s="1" t="s">
        <v>80</v>
      </c>
      <c r="B387" s="1" t="s">
        <v>15</v>
      </c>
      <c r="C387" s="3">
        <v>1022.3</v>
      </c>
    </row>
    <row r="388" spans="1:3" x14ac:dyDescent="0.2">
      <c r="A388" s="1" t="s">
        <v>80</v>
      </c>
      <c r="B388" s="1" t="s">
        <v>67</v>
      </c>
      <c r="C388" s="3">
        <v>457.7</v>
      </c>
    </row>
    <row r="389" spans="1:3" x14ac:dyDescent="0.2">
      <c r="A389" s="1" t="s">
        <v>80</v>
      </c>
      <c r="B389" s="1" t="s">
        <v>38</v>
      </c>
      <c r="C389" s="3">
        <v>409.78</v>
      </c>
    </row>
    <row r="390" spans="1:3" x14ac:dyDescent="0.2">
      <c r="A390" s="1" t="s">
        <v>80</v>
      </c>
      <c r="B390" s="1" t="s">
        <v>79</v>
      </c>
      <c r="C390" s="3">
        <v>24.99</v>
      </c>
    </row>
    <row r="391" spans="1:3" x14ac:dyDescent="0.2">
      <c r="A391" s="1" t="s">
        <v>80</v>
      </c>
      <c r="B391" s="1" t="s">
        <v>39</v>
      </c>
      <c r="C391" s="3">
        <v>398.46</v>
      </c>
    </row>
    <row r="392" spans="1:3" x14ac:dyDescent="0.2">
      <c r="A392" s="1" t="s">
        <v>80</v>
      </c>
      <c r="B392" s="1" t="s">
        <v>68</v>
      </c>
      <c r="C392" s="3">
        <v>159</v>
      </c>
    </row>
    <row r="393" spans="1:3" x14ac:dyDescent="0.2">
      <c r="A393" s="1" t="s">
        <v>80</v>
      </c>
      <c r="B393" s="1" t="s">
        <v>16</v>
      </c>
      <c r="C393" s="3">
        <v>12554.88</v>
      </c>
    </row>
    <row r="394" spans="1:3" x14ac:dyDescent="0.2">
      <c r="A394" s="1" t="s">
        <v>80</v>
      </c>
      <c r="B394" s="1" t="s">
        <v>17</v>
      </c>
      <c r="C394" s="3">
        <v>1381.57</v>
      </c>
    </row>
    <row r="395" spans="1:3" x14ac:dyDescent="0.2">
      <c r="A395" s="1" t="s">
        <v>80</v>
      </c>
      <c r="B395" s="1" t="s">
        <v>75</v>
      </c>
      <c r="C395" s="3">
        <v>85</v>
      </c>
    </row>
    <row r="396" spans="1:3" x14ac:dyDescent="0.2">
      <c r="A396" s="1" t="s">
        <v>80</v>
      </c>
      <c r="B396" s="1" t="s">
        <v>18</v>
      </c>
      <c r="C396" s="3">
        <v>15153.47</v>
      </c>
    </row>
    <row r="397" spans="1:3" x14ac:dyDescent="0.2">
      <c r="A397" s="1" t="s">
        <v>80</v>
      </c>
      <c r="B397" s="1" t="s">
        <v>19</v>
      </c>
      <c r="C397" s="3">
        <v>28312.3</v>
      </c>
    </row>
    <row r="398" spans="1:3" x14ac:dyDescent="0.2">
      <c r="A398" s="1" t="s">
        <v>80</v>
      </c>
      <c r="B398" s="1" t="s">
        <v>41</v>
      </c>
      <c r="C398" s="3">
        <v>714.28</v>
      </c>
    </row>
    <row r="399" spans="1:3" x14ac:dyDescent="0.2">
      <c r="A399" s="1" t="s">
        <v>80</v>
      </c>
      <c r="B399" s="1" t="s">
        <v>42</v>
      </c>
      <c r="C399" s="3">
        <v>1537.9</v>
      </c>
    </row>
    <row r="400" spans="1:3" x14ac:dyDescent="0.2">
      <c r="A400" s="1" t="s">
        <v>80</v>
      </c>
      <c r="B400" s="1" t="s">
        <v>69</v>
      </c>
      <c r="C400" s="3">
        <v>64.5</v>
      </c>
    </row>
    <row r="401" spans="1:3" x14ac:dyDescent="0.2">
      <c r="A401" s="1" t="s">
        <v>80</v>
      </c>
      <c r="B401" s="1" t="s">
        <v>43</v>
      </c>
      <c r="C401" s="3">
        <v>1110.5</v>
      </c>
    </row>
    <row r="402" spans="1:3" x14ac:dyDescent="0.2">
      <c r="A402" s="1" t="s">
        <v>80</v>
      </c>
      <c r="B402" s="1" t="s">
        <v>44</v>
      </c>
      <c r="C402" s="3">
        <v>2668.35</v>
      </c>
    </row>
    <row r="403" spans="1:3" x14ac:dyDescent="0.2">
      <c r="A403" s="1" t="s">
        <v>80</v>
      </c>
      <c r="B403" s="1" t="s">
        <v>20</v>
      </c>
      <c r="C403" s="3">
        <v>14836.1</v>
      </c>
    </row>
    <row r="404" spans="1:3" x14ac:dyDescent="0.2">
      <c r="A404" s="1" t="s">
        <v>80</v>
      </c>
      <c r="B404" s="1" t="s">
        <v>45</v>
      </c>
      <c r="C404" s="3">
        <v>1428.14</v>
      </c>
    </row>
    <row r="405" spans="1:3" x14ac:dyDescent="0.2">
      <c r="A405" s="1" t="s">
        <v>80</v>
      </c>
      <c r="B405" s="1" t="s">
        <v>46</v>
      </c>
      <c r="C405" s="3">
        <v>305.76</v>
      </c>
    </row>
    <row r="406" spans="1:3" x14ac:dyDescent="0.2">
      <c r="A406" s="1" t="s">
        <v>80</v>
      </c>
      <c r="B406" s="1" t="s">
        <v>81</v>
      </c>
      <c r="C406" s="3">
        <v>137</v>
      </c>
    </row>
    <row r="407" spans="1:3" x14ac:dyDescent="0.2">
      <c r="A407" s="1" t="s">
        <v>80</v>
      </c>
      <c r="B407" s="1" t="s">
        <v>21</v>
      </c>
      <c r="C407" s="3">
        <v>1632.77</v>
      </c>
    </row>
    <row r="408" spans="1:3" x14ac:dyDescent="0.2">
      <c r="A408" s="1" t="s">
        <v>80</v>
      </c>
      <c r="B408" s="1" t="s">
        <v>22</v>
      </c>
      <c r="C408" s="3">
        <v>387.05</v>
      </c>
    </row>
    <row r="409" spans="1:3" x14ac:dyDescent="0.2">
      <c r="A409" s="1" t="s">
        <v>80</v>
      </c>
      <c r="B409" s="1" t="s">
        <v>52</v>
      </c>
      <c r="C409" s="3">
        <v>1165.97</v>
      </c>
    </row>
    <row r="410" spans="1:3" x14ac:dyDescent="0.2">
      <c r="A410" s="1" t="s">
        <v>80</v>
      </c>
      <c r="B410" s="1" t="s">
        <v>23</v>
      </c>
      <c r="C410" s="3">
        <v>1472.84</v>
      </c>
    </row>
    <row r="411" spans="1:3" x14ac:dyDescent="0.2">
      <c r="A411" s="1" t="s">
        <v>80</v>
      </c>
      <c r="B411" s="1" t="s">
        <v>47</v>
      </c>
      <c r="C411" s="3">
        <v>3161.93</v>
      </c>
    </row>
    <row r="412" spans="1:3" x14ac:dyDescent="0.2">
      <c r="A412" s="1" t="s">
        <v>80</v>
      </c>
      <c r="B412" s="1" t="s">
        <v>76</v>
      </c>
      <c r="C412" s="3">
        <v>43.8</v>
      </c>
    </row>
    <row r="413" spans="1:3" x14ac:dyDescent="0.2">
      <c r="A413" s="1" t="s">
        <v>80</v>
      </c>
      <c r="B413" s="1" t="s">
        <v>24</v>
      </c>
      <c r="C413" s="3">
        <v>10291.58</v>
      </c>
    </row>
    <row r="414" spans="1:3" x14ac:dyDescent="0.2">
      <c r="A414" s="1" t="s">
        <v>80</v>
      </c>
      <c r="B414" s="1" t="s">
        <v>48</v>
      </c>
      <c r="C414" s="3">
        <v>4692.63</v>
      </c>
    </row>
    <row r="415" spans="1:3" x14ac:dyDescent="0.2">
      <c r="A415" s="1" t="s">
        <v>80</v>
      </c>
      <c r="B415" s="1" t="s">
        <v>70</v>
      </c>
      <c r="C415" s="3">
        <v>1071.3399999999999</v>
      </c>
    </row>
    <row r="416" spans="1:3" x14ac:dyDescent="0.2">
      <c r="A416" s="1" t="s">
        <v>80</v>
      </c>
      <c r="B416" s="1" t="s">
        <v>25</v>
      </c>
      <c r="C416" s="3">
        <v>2679.88</v>
      </c>
    </row>
    <row r="417" spans="1:3" x14ac:dyDescent="0.2">
      <c r="A417" s="1" t="s">
        <v>80</v>
      </c>
      <c r="B417" s="1" t="s">
        <v>26</v>
      </c>
      <c r="C417" s="3">
        <v>19547.25</v>
      </c>
    </row>
    <row r="418" spans="1:3" x14ac:dyDescent="0.2">
      <c r="A418" s="1" t="s">
        <v>80</v>
      </c>
      <c r="B418" s="1" t="s">
        <v>27</v>
      </c>
      <c r="C418" s="3">
        <v>4579.82</v>
      </c>
    </row>
    <row r="419" spans="1:3" x14ac:dyDescent="0.2">
      <c r="A419" s="1" t="s">
        <v>80</v>
      </c>
      <c r="B419" s="1" t="s">
        <v>53</v>
      </c>
      <c r="C419" s="3">
        <v>99</v>
      </c>
    </row>
    <row r="420" spans="1:3" x14ac:dyDescent="0.2">
      <c r="A420" s="1" t="s">
        <v>80</v>
      </c>
      <c r="B420" s="1" t="s">
        <v>28</v>
      </c>
      <c r="C420" s="3">
        <v>6169.94</v>
      </c>
    </row>
    <row r="421" spans="1:3" x14ac:dyDescent="0.2">
      <c r="A421" s="1" t="s">
        <v>80</v>
      </c>
      <c r="B421" s="1" t="s">
        <v>29</v>
      </c>
      <c r="C421" s="3">
        <v>7913.87</v>
      </c>
    </row>
    <row r="422" spans="1:3" x14ac:dyDescent="0.2">
      <c r="A422" s="1" t="s">
        <v>80</v>
      </c>
      <c r="B422" s="1" t="s">
        <v>30</v>
      </c>
      <c r="C422" s="3">
        <v>33257.72</v>
      </c>
    </row>
    <row r="423" spans="1:3" x14ac:dyDescent="0.2">
      <c r="A423" s="1" t="s">
        <v>82</v>
      </c>
      <c r="B423" s="1" t="s">
        <v>32</v>
      </c>
      <c r="C423" s="3">
        <v>559.99</v>
      </c>
    </row>
    <row r="424" spans="1:3" x14ac:dyDescent="0.2">
      <c r="A424" s="1" t="s">
        <v>82</v>
      </c>
      <c r="B424" s="1" t="s">
        <v>33</v>
      </c>
      <c r="C424" s="3">
        <v>199</v>
      </c>
    </row>
    <row r="425" spans="1:3" x14ac:dyDescent="0.2">
      <c r="A425" s="1" t="s">
        <v>82</v>
      </c>
      <c r="B425" s="1" t="s">
        <v>34</v>
      </c>
      <c r="C425" s="3">
        <v>733.88</v>
      </c>
    </row>
    <row r="426" spans="1:3" x14ac:dyDescent="0.2">
      <c r="A426" s="1" t="s">
        <v>82</v>
      </c>
      <c r="B426" s="1" t="s">
        <v>4</v>
      </c>
      <c r="C426" s="3">
        <v>5291.16</v>
      </c>
    </row>
    <row r="427" spans="1:3" x14ac:dyDescent="0.2">
      <c r="A427" s="1" t="s">
        <v>82</v>
      </c>
      <c r="B427" s="1" t="s">
        <v>5</v>
      </c>
      <c r="C427" s="3">
        <v>5275.28</v>
      </c>
    </row>
    <row r="428" spans="1:3" x14ac:dyDescent="0.2">
      <c r="A428" s="1" t="s">
        <v>82</v>
      </c>
      <c r="B428" s="1" t="s">
        <v>6</v>
      </c>
      <c r="C428" s="3">
        <v>3964.63</v>
      </c>
    </row>
    <row r="429" spans="1:3" x14ac:dyDescent="0.2">
      <c r="A429" s="1" t="s">
        <v>82</v>
      </c>
      <c r="B429" s="1" t="s">
        <v>7</v>
      </c>
      <c r="C429" s="3">
        <v>299</v>
      </c>
    </row>
    <row r="430" spans="1:3" x14ac:dyDescent="0.2">
      <c r="A430" s="1" t="s">
        <v>82</v>
      </c>
      <c r="B430" s="1" t="s">
        <v>56</v>
      </c>
      <c r="C430" s="3">
        <v>749</v>
      </c>
    </row>
    <row r="431" spans="1:3" x14ac:dyDescent="0.2">
      <c r="A431" s="1" t="s">
        <v>82</v>
      </c>
      <c r="B431" s="1" t="s">
        <v>57</v>
      </c>
      <c r="C431" s="3">
        <v>105.79</v>
      </c>
    </row>
    <row r="432" spans="1:3" x14ac:dyDescent="0.2">
      <c r="A432" s="1" t="s">
        <v>82</v>
      </c>
      <c r="B432" s="1" t="s">
        <v>83</v>
      </c>
      <c r="C432" s="3">
        <v>65</v>
      </c>
    </row>
    <row r="433" spans="1:3" x14ac:dyDescent="0.2">
      <c r="A433" s="1" t="s">
        <v>82</v>
      </c>
      <c r="B433" s="1" t="s">
        <v>8</v>
      </c>
      <c r="C433" s="3">
        <v>116.9</v>
      </c>
    </row>
    <row r="434" spans="1:3" x14ac:dyDescent="0.2">
      <c r="A434" s="1" t="s">
        <v>82</v>
      </c>
      <c r="B434" s="1" t="s">
        <v>58</v>
      </c>
      <c r="C434" s="3">
        <v>49.8</v>
      </c>
    </row>
    <row r="435" spans="1:3" x14ac:dyDescent="0.2">
      <c r="A435" s="1" t="s">
        <v>82</v>
      </c>
      <c r="B435" s="1" t="s">
        <v>9</v>
      </c>
      <c r="C435" s="3">
        <v>6786.98</v>
      </c>
    </row>
    <row r="436" spans="1:3" x14ac:dyDescent="0.2">
      <c r="A436" s="1" t="s">
        <v>82</v>
      </c>
      <c r="B436" s="1" t="s">
        <v>10</v>
      </c>
      <c r="C436" s="3">
        <v>12581.43</v>
      </c>
    </row>
    <row r="437" spans="1:3" x14ac:dyDescent="0.2">
      <c r="A437" s="1" t="s">
        <v>82</v>
      </c>
      <c r="B437" s="1" t="s">
        <v>11</v>
      </c>
      <c r="C437" s="3">
        <v>1331.53</v>
      </c>
    </row>
    <row r="438" spans="1:3" x14ac:dyDescent="0.2">
      <c r="A438" s="1" t="s">
        <v>82</v>
      </c>
      <c r="B438" s="1" t="s">
        <v>35</v>
      </c>
      <c r="C438" s="3">
        <v>49.99</v>
      </c>
    </row>
    <row r="439" spans="1:3" x14ac:dyDescent="0.2">
      <c r="A439" s="1" t="s">
        <v>82</v>
      </c>
      <c r="B439" s="1" t="s">
        <v>59</v>
      </c>
      <c r="C439" s="3">
        <v>250</v>
      </c>
    </row>
    <row r="440" spans="1:3" x14ac:dyDescent="0.2">
      <c r="A440" s="1" t="s">
        <v>82</v>
      </c>
      <c r="B440" s="1" t="s">
        <v>12</v>
      </c>
      <c r="C440" s="3">
        <v>7560.38</v>
      </c>
    </row>
    <row r="441" spans="1:3" x14ac:dyDescent="0.2">
      <c r="A441" s="1" t="s">
        <v>82</v>
      </c>
      <c r="B441" s="1" t="s">
        <v>13</v>
      </c>
      <c r="C441" s="3">
        <v>382.89</v>
      </c>
    </row>
    <row r="442" spans="1:3" x14ac:dyDescent="0.2">
      <c r="A442" s="1" t="s">
        <v>82</v>
      </c>
      <c r="B442" s="1" t="s">
        <v>14</v>
      </c>
      <c r="C442" s="3">
        <v>2004.74</v>
      </c>
    </row>
    <row r="443" spans="1:3" x14ac:dyDescent="0.2">
      <c r="A443" s="1" t="s">
        <v>82</v>
      </c>
      <c r="B443" s="1" t="s">
        <v>65</v>
      </c>
      <c r="C443" s="3">
        <v>59.9</v>
      </c>
    </row>
    <row r="444" spans="1:3" x14ac:dyDescent="0.2">
      <c r="A444" s="1" t="s">
        <v>82</v>
      </c>
      <c r="B444" s="1" t="s">
        <v>15</v>
      </c>
      <c r="C444" s="3">
        <v>27.9</v>
      </c>
    </row>
    <row r="445" spans="1:3" x14ac:dyDescent="0.2">
      <c r="A445" s="1" t="s">
        <v>82</v>
      </c>
      <c r="B445" s="1" t="s">
        <v>66</v>
      </c>
      <c r="C445" s="3">
        <v>205.9</v>
      </c>
    </row>
    <row r="446" spans="1:3" x14ac:dyDescent="0.2">
      <c r="A446" s="1" t="s">
        <v>82</v>
      </c>
      <c r="B446" s="1" t="s">
        <v>38</v>
      </c>
      <c r="C446" s="3">
        <v>90</v>
      </c>
    </row>
    <row r="447" spans="1:3" x14ac:dyDescent="0.2">
      <c r="A447" s="1" t="s">
        <v>82</v>
      </c>
      <c r="B447" s="1" t="s">
        <v>40</v>
      </c>
      <c r="C447" s="3">
        <v>103.99</v>
      </c>
    </row>
    <row r="448" spans="1:3" x14ac:dyDescent="0.2">
      <c r="A448" s="1" t="s">
        <v>82</v>
      </c>
      <c r="B448" s="1" t="s">
        <v>16</v>
      </c>
      <c r="C448" s="3">
        <v>4570.3599999999997</v>
      </c>
    </row>
    <row r="449" spans="1:3" x14ac:dyDescent="0.2">
      <c r="A449" s="1" t="s">
        <v>82</v>
      </c>
      <c r="B449" s="1" t="s">
        <v>17</v>
      </c>
      <c r="C449" s="3">
        <v>1519.9</v>
      </c>
    </row>
    <row r="450" spans="1:3" x14ac:dyDescent="0.2">
      <c r="A450" s="1" t="s">
        <v>82</v>
      </c>
      <c r="B450" s="1" t="s">
        <v>18</v>
      </c>
      <c r="C450" s="3">
        <v>2175.4699999999998</v>
      </c>
    </row>
    <row r="451" spans="1:3" x14ac:dyDescent="0.2">
      <c r="A451" s="1" t="s">
        <v>82</v>
      </c>
      <c r="B451" s="1" t="s">
        <v>19</v>
      </c>
      <c r="C451" s="3">
        <v>12747.18</v>
      </c>
    </row>
    <row r="452" spans="1:3" x14ac:dyDescent="0.2">
      <c r="A452" s="1" t="s">
        <v>82</v>
      </c>
      <c r="B452" s="1" t="s">
        <v>41</v>
      </c>
      <c r="C452" s="3">
        <v>1297.8</v>
      </c>
    </row>
    <row r="453" spans="1:3" x14ac:dyDescent="0.2">
      <c r="A453" s="1" t="s">
        <v>82</v>
      </c>
      <c r="B453" s="1" t="s">
        <v>43</v>
      </c>
      <c r="C453" s="3">
        <v>685.9</v>
      </c>
    </row>
    <row r="454" spans="1:3" x14ac:dyDescent="0.2">
      <c r="A454" s="1" t="s">
        <v>82</v>
      </c>
      <c r="B454" s="1" t="s">
        <v>44</v>
      </c>
      <c r="C454" s="3">
        <v>713.76</v>
      </c>
    </row>
    <row r="455" spans="1:3" x14ac:dyDescent="0.2">
      <c r="A455" s="1" t="s">
        <v>82</v>
      </c>
      <c r="B455" s="1" t="s">
        <v>20</v>
      </c>
      <c r="C455" s="3">
        <v>2384.7600000000002</v>
      </c>
    </row>
    <row r="456" spans="1:3" x14ac:dyDescent="0.2">
      <c r="A456" s="1" t="s">
        <v>82</v>
      </c>
      <c r="B456" s="1" t="s">
        <v>45</v>
      </c>
      <c r="C456" s="3">
        <v>125</v>
      </c>
    </row>
    <row r="457" spans="1:3" x14ac:dyDescent="0.2">
      <c r="A457" s="1" t="s">
        <v>82</v>
      </c>
      <c r="B457" s="1" t="s">
        <v>21</v>
      </c>
      <c r="C457" s="3">
        <v>1202.43</v>
      </c>
    </row>
    <row r="458" spans="1:3" x14ac:dyDescent="0.2">
      <c r="A458" s="1" t="s">
        <v>82</v>
      </c>
      <c r="B458" s="1" t="s">
        <v>22</v>
      </c>
      <c r="C458" s="3">
        <v>672.28</v>
      </c>
    </row>
    <row r="459" spans="1:3" x14ac:dyDescent="0.2">
      <c r="A459" s="1" t="s">
        <v>82</v>
      </c>
      <c r="B459" s="1" t="s">
        <v>23</v>
      </c>
      <c r="C459" s="3">
        <v>3477.05</v>
      </c>
    </row>
    <row r="460" spans="1:3" x14ac:dyDescent="0.2">
      <c r="A460" s="1" t="s">
        <v>82</v>
      </c>
      <c r="B460" s="1" t="s">
        <v>47</v>
      </c>
      <c r="C460" s="3">
        <v>3715.64</v>
      </c>
    </row>
    <row r="461" spans="1:3" x14ac:dyDescent="0.2">
      <c r="A461" s="1" t="s">
        <v>82</v>
      </c>
      <c r="B461" s="1" t="s">
        <v>24</v>
      </c>
      <c r="C461" s="3">
        <v>4436.58</v>
      </c>
    </row>
    <row r="462" spans="1:3" x14ac:dyDescent="0.2">
      <c r="A462" s="1" t="s">
        <v>82</v>
      </c>
      <c r="B462" s="1" t="s">
        <v>48</v>
      </c>
      <c r="C462" s="3">
        <v>846.44</v>
      </c>
    </row>
    <row r="463" spans="1:3" x14ac:dyDescent="0.2">
      <c r="A463" s="1" t="s">
        <v>82</v>
      </c>
      <c r="B463" s="1" t="s">
        <v>25</v>
      </c>
      <c r="C463" s="3">
        <v>262.89999999999998</v>
      </c>
    </row>
    <row r="464" spans="1:3" x14ac:dyDescent="0.2">
      <c r="A464" s="1" t="s">
        <v>82</v>
      </c>
      <c r="B464" s="1" t="s">
        <v>26</v>
      </c>
      <c r="C464" s="3">
        <v>8568.8700000000008</v>
      </c>
    </row>
    <row r="465" spans="1:3" x14ac:dyDescent="0.2">
      <c r="A465" s="1" t="s">
        <v>82</v>
      </c>
      <c r="B465" s="1" t="s">
        <v>27</v>
      </c>
      <c r="C465" s="3">
        <v>1455.89</v>
      </c>
    </row>
    <row r="466" spans="1:3" x14ac:dyDescent="0.2">
      <c r="A466" s="1" t="s">
        <v>82</v>
      </c>
      <c r="B466" s="1" t="s">
        <v>53</v>
      </c>
      <c r="C466" s="3">
        <v>152.99</v>
      </c>
    </row>
    <row r="467" spans="1:3" x14ac:dyDescent="0.2">
      <c r="A467" s="1" t="s">
        <v>82</v>
      </c>
      <c r="B467" s="1" t="s">
        <v>28</v>
      </c>
      <c r="C467" s="3">
        <v>5002.0200000000004</v>
      </c>
    </row>
    <row r="468" spans="1:3" x14ac:dyDescent="0.2">
      <c r="A468" s="1" t="s">
        <v>82</v>
      </c>
      <c r="B468" s="1" t="s">
        <v>29</v>
      </c>
      <c r="C468" s="3">
        <v>3284.03</v>
      </c>
    </row>
    <row r="469" spans="1:3" x14ac:dyDescent="0.2">
      <c r="A469" s="1" t="s">
        <v>82</v>
      </c>
      <c r="B469" s="1" t="s">
        <v>30</v>
      </c>
      <c r="C469" s="3">
        <v>9904.99</v>
      </c>
    </row>
    <row r="470" spans="1:3" x14ac:dyDescent="0.2">
      <c r="A470" s="1" t="s">
        <v>84</v>
      </c>
      <c r="B470" s="1" t="s">
        <v>32</v>
      </c>
      <c r="C470" s="3">
        <v>12126.49</v>
      </c>
    </row>
    <row r="471" spans="1:3" x14ac:dyDescent="0.2">
      <c r="A471" s="1" t="s">
        <v>84</v>
      </c>
      <c r="B471" s="1" t="s">
        <v>33</v>
      </c>
      <c r="C471" s="3">
        <v>4379.1099999999997</v>
      </c>
    </row>
    <row r="472" spans="1:3" x14ac:dyDescent="0.2">
      <c r="A472" s="1" t="s">
        <v>84</v>
      </c>
      <c r="B472" s="1" t="s">
        <v>50</v>
      </c>
      <c r="C472" s="3">
        <v>1366.54</v>
      </c>
    </row>
    <row r="473" spans="1:3" x14ac:dyDescent="0.2">
      <c r="A473" s="1" t="s">
        <v>84</v>
      </c>
      <c r="B473" s="1" t="s">
        <v>74</v>
      </c>
      <c r="C473" s="3">
        <v>488.78</v>
      </c>
    </row>
    <row r="474" spans="1:3" x14ac:dyDescent="0.2">
      <c r="A474" s="1" t="s">
        <v>84</v>
      </c>
      <c r="B474" s="1" t="s">
        <v>34</v>
      </c>
      <c r="C474" s="3">
        <v>5627.09</v>
      </c>
    </row>
    <row r="475" spans="1:3" x14ac:dyDescent="0.2">
      <c r="A475" s="1" t="s">
        <v>84</v>
      </c>
      <c r="B475" s="1" t="s">
        <v>4</v>
      </c>
      <c r="C475" s="3">
        <v>72851.08</v>
      </c>
    </row>
    <row r="476" spans="1:3" x14ac:dyDescent="0.2">
      <c r="A476" s="1" t="s">
        <v>84</v>
      </c>
      <c r="B476" s="1" t="s">
        <v>5</v>
      </c>
      <c r="C476" s="3">
        <v>47889.38</v>
      </c>
    </row>
    <row r="477" spans="1:3" x14ac:dyDescent="0.2">
      <c r="A477" s="1" t="s">
        <v>84</v>
      </c>
      <c r="B477" s="1" t="s">
        <v>6</v>
      </c>
      <c r="C477" s="3">
        <v>129643.98</v>
      </c>
    </row>
    <row r="478" spans="1:3" x14ac:dyDescent="0.2">
      <c r="A478" s="1" t="s">
        <v>84</v>
      </c>
      <c r="B478" s="1" t="s">
        <v>7</v>
      </c>
      <c r="C478" s="3">
        <v>4470.5200000000004</v>
      </c>
    </row>
    <row r="479" spans="1:3" x14ac:dyDescent="0.2">
      <c r="A479" s="1" t="s">
        <v>84</v>
      </c>
      <c r="B479" s="1" t="s">
        <v>56</v>
      </c>
      <c r="C479" s="3">
        <v>364.87</v>
      </c>
    </row>
    <row r="480" spans="1:3" x14ac:dyDescent="0.2">
      <c r="A480" s="1" t="s">
        <v>84</v>
      </c>
      <c r="B480" s="1" t="s">
        <v>57</v>
      </c>
      <c r="C480" s="3">
        <v>1901.03</v>
      </c>
    </row>
    <row r="481" spans="1:3" x14ac:dyDescent="0.2">
      <c r="A481" s="1" t="s">
        <v>84</v>
      </c>
      <c r="B481" s="1" t="s">
        <v>8</v>
      </c>
      <c r="C481" s="3">
        <v>1271.33</v>
      </c>
    </row>
    <row r="482" spans="1:3" x14ac:dyDescent="0.2">
      <c r="A482" s="1" t="s">
        <v>84</v>
      </c>
      <c r="B482" s="1" t="s">
        <v>58</v>
      </c>
      <c r="C482" s="3">
        <v>494.89</v>
      </c>
    </row>
    <row r="483" spans="1:3" x14ac:dyDescent="0.2">
      <c r="A483" s="1" t="s">
        <v>84</v>
      </c>
      <c r="B483" s="1" t="s">
        <v>9</v>
      </c>
      <c r="C483" s="3">
        <v>20973</v>
      </c>
    </row>
    <row r="484" spans="1:3" x14ac:dyDescent="0.2">
      <c r="A484" s="1" t="s">
        <v>84</v>
      </c>
      <c r="B484" s="1" t="s">
        <v>10</v>
      </c>
      <c r="C484" s="3">
        <v>111069.74</v>
      </c>
    </row>
    <row r="485" spans="1:3" x14ac:dyDescent="0.2">
      <c r="A485" s="1" t="s">
        <v>84</v>
      </c>
      <c r="B485" s="1" t="s">
        <v>11</v>
      </c>
      <c r="C485" s="3">
        <v>19952.669999999998</v>
      </c>
    </row>
    <row r="486" spans="1:3" x14ac:dyDescent="0.2">
      <c r="A486" s="1" t="s">
        <v>84</v>
      </c>
      <c r="B486" s="1" t="s">
        <v>35</v>
      </c>
      <c r="C486" s="3">
        <v>18040.689999999999</v>
      </c>
    </row>
    <row r="487" spans="1:3" x14ac:dyDescent="0.2">
      <c r="A487" s="1" t="s">
        <v>84</v>
      </c>
      <c r="B487" s="1" t="s">
        <v>59</v>
      </c>
      <c r="C487" s="3">
        <v>6267.15</v>
      </c>
    </row>
    <row r="488" spans="1:3" x14ac:dyDescent="0.2">
      <c r="A488" s="1" t="s">
        <v>84</v>
      </c>
      <c r="B488" s="1" t="s">
        <v>60</v>
      </c>
      <c r="C488" s="3">
        <v>7546.76</v>
      </c>
    </row>
    <row r="489" spans="1:3" x14ac:dyDescent="0.2">
      <c r="A489" s="1" t="s">
        <v>84</v>
      </c>
      <c r="B489" s="1" t="s">
        <v>12</v>
      </c>
      <c r="C489" s="3">
        <v>72778.48</v>
      </c>
    </row>
    <row r="490" spans="1:3" x14ac:dyDescent="0.2">
      <c r="A490" s="1" t="s">
        <v>84</v>
      </c>
      <c r="B490" s="1" t="s">
        <v>51</v>
      </c>
      <c r="C490" s="3">
        <v>2432.0300000000002</v>
      </c>
    </row>
    <row r="491" spans="1:3" x14ac:dyDescent="0.2">
      <c r="A491" s="1" t="s">
        <v>84</v>
      </c>
      <c r="B491" s="1" t="s">
        <v>61</v>
      </c>
      <c r="C491" s="3">
        <v>1720.05</v>
      </c>
    </row>
    <row r="492" spans="1:3" x14ac:dyDescent="0.2">
      <c r="A492" s="1" t="s">
        <v>84</v>
      </c>
      <c r="B492" s="1" t="s">
        <v>62</v>
      </c>
      <c r="C492" s="3">
        <v>43</v>
      </c>
    </row>
    <row r="493" spans="1:3" x14ac:dyDescent="0.2">
      <c r="A493" s="1" t="s">
        <v>84</v>
      </c>
      <c r="B493" s="1" t="s">
        <v>36</v>
      </c>
      <c r="C493" s="3">
        <v>1940.6</v>
      </c>
    </row>
    <row r="494" spans="1:3" x14ac:dyDescent="0.2">
      <c r="A494" s="1" t="s">
        <v>84</v>
      </c>
      <c r="B494" s="1" t="s">
        <v>37</v>
      </c>
      <c r="C494" s="3">
        <v>268.77999999999997</v>
      </c>
    </row>
    <row r="495" spans="1:3" x14ac:dyDescent="0.2">
      <c r="A495" s="1" t="s">
        <v>84</v>
      </c>
      <c r="B495" s="1" t="s">
        <v>13</v>
      </c>
      <c r="C495" s="3">
        <v>20831.490000000002</v>
      </c>
    </row>
    <row r="496" spans="1:3" x14ac:dyDescent="0.2">
      <c r="A496" s="1" t="s">
        <v>84</v>
      </c>
      <c r="B496" s="1" t="s">
        <v>63</v>
      </c>
      <c r="C496" s="3">
        <v>475.68</v>
      </c>
    </row>
    <row r="497" spans="1:3" x14ac:dyDescent="0.2">
      <c r="A497" s="1" t="s">
        <v>84</v>
      </c>
      <c r="B497" s="1" t="s">
        <v>14</v>
      </c>
      <c r="C497" s="3">
        <v>23580.11</v>
      </c>
    </row>
    <row r="498" spans="1:3" x14ac:dyDescent="0.2">
      <c r="A498" s="1" t="s">
        <v>84</v>
      </c>
      <c r="B498" s="1" t="s">
        <v>65</v>
      </c>
      <c r="C498" s="3">
        <v>1536.73</v>
      </c>
    </row>
    <row r="499" spans="1:3" x14ac:dyDescent="0.2">
      <c r="A499" s="1" t="s">
        <v>84</v>
      </c>
      <c r="B499" s="1" t="s">
        <v>15</v>
      </c>
      <c r="C499" s="3">
        <v>3304.28</v>
      </c>
    </row>
    <row r="500" spans="1:3" x14ac:dyDescent="0.2">
      <c r="A500" s="1" t="s">
        <v>84</v>
      </c>
      <c r="B500" s="1" t="s">
        <v>66</v>
      </c>
      <c r="C500" s="3">
        <v>264.89999999999998</v>
      </c>
    </row>
    <row r="501" spans="1:3" x14ac:dyDescent="0.2">
      <c r="A501" s="1" t="s">
        <v>84</v>
      </c>
      <c r="B501" s="1" t="s">
        <v>67</v>
      </c>
      <c r="C501" s="3">
        <v>1070.8</v>
      </c>
    </row>
    <row r="502" spans="1:3" x14ac:dyDescent="0.2">
      <c r="A502" s="1" t="s">
        <v>84</v>
      </c>
      <c r="B502" s="1" t="s">
        <v>38</v>
      </c>
      <c r="C502" s="3">
        <v>1244.5999999999999</v>
      </c>
    </row>
    <row r="503" spans="1:3" x14ac:dyDescent="0.2">
      <c r="A503" s="1" t="s">
        <v>84</v>
      </c>
      <c r="B503" s="1" t="s">
        <v>79</v>
      </c>
      <c r="C503" s="3">
        <v>96.29</v>
      </c>
    </row>
    <row r="504" spans="1:3" x14ac:dyDescent="0.2">
      <c r="A504" s="1" t="s">
        <v>84</v>
      </c>
      <c r="B504" s="1" t="s">
        <v>39</v>
      </c>
      <c r="C504" s="3">
        <v>2115.59</v>
      </c>
    </row>
    <row r="505" spans="1:3" x14ac:dyDescent="0.2">
      <c r="A505" s="1" t="s">
        <v>84</v>
      </c>
      <c r="B505" s="1" t="s">
        <v>40</v>
      </c>
      <c r="C505" s="3">
        <v>1913.9</v>
      </c>
    </row>
    <row r="506" spans="1:3" x14ac:dyDescent="0.2">
      <c r="A506" s="1" t="s">
        <v>84</v>
      </c>
      <c r="B506" s="1" t="s">
        <v>68</v>
      </c>
      <c r="C506" s="3">
        <v>2237.8000000000002</v>
      </c>
    </row>
    <row r="507" spans="1:3" x14ac:dyDescent="0.2">
      <c r="A507" s="1" t="s">
        <v>84</v>
      </c>
      <c r="B507" s="1" t="s">
        <v>16</v>
      </c>
      <c r="C507" s="3">
        <v>78999.740000000005</v>
      </c>
    </row>
    <row r="508" spans="1:3" x14ac:dyDescent="0.2">
      <c r="A508" s="1" t="s">
        <v>84</v>
      </c>
      <c r="B508" s="1" t="s">
        <v>17</v>
      </c>
      <c r="C508" s="3">
        <v>7817.38</v>
      </c>
    </row>
    <row r="509" spans="1:3" x14ac:dyDescent="0.2">
      <c r="A509" s="1" t="s">
        <v>84</v>
      </c>
      <c r="B509" s="1" t="s">
        <v>75</v>
      </c>
      <c r="C509" s="3">
        <v>561.49</v>
      </c>
    </row>
    <row r="510" spans="1:3" x14ac:dyDescent="0.2">
      <c r="A510" s="1" t="s">
        <v>84</v>
      </c>
      <c r="B510" s="1" t="s">
        <v>18</v>
      </c>
      <c r="C510" s="3">
        <v>60649.22</v>
      </c>
    </row>
    <row r="511" spans="1:3" x14ac:dyDescent="0.2">
      <c r="A511" s="1" t="s">
        <v>84</v>
      </c>
      <c r="B511" s="1" t="s">
        <v>19</v>
      </c>
      <c r="C511" s="3">
        <v>157558.29999999999</v>
      </c>
    </row>
    <row r="512" spans="1:3" x14ac:dyDescent="0.2">
      <c r="A512" s="1" t="s">
        <v>84</v>
      </c>
      <c r="B512" s="1" t="s">
        <v>41</v>
      </c>
      <c r="C512" s="3">
        <v>5814.42</v>
      </c>
    </row>
    <row r="513" spans="1:3" x14ac:dyDescent="0.2">
      <c r="A513" s="1" t="s">
        <v>84</v>
      </c>
      <c r="B513" s="1" t="s">
        <v>42</v>
      </c>
      <c r="C513" s="3">
        <v>6535.78</v>
      </c>
    </row>
    <row r="514" spans="1:3" x14ac:dyDescent="0.2">
      <c r="A514" s="1" t="s">
        <v>84</v>
      </c>
      <c r="B514" s="1" t="s">
        <v>69</v>
      </c>
      <c r="C514" s="3">
        <v>38.700000000000003</v>
      </c>
    </row>
    <row r="515" spans="1:3" x14ac:dyDescent="0.2">
      <c r="A515" s="1" t="s">
        <v>84</v>
      </c>
      <c r="B515" s="1" t="s">
        <v>43</v>
      </c>
      <c r="C515" s="3">
        <v>8097.59</v>
      </c>
    </row>
    <row r="516" spans="1:3" x14ac:dyDescent="0.2">
      <c r="A516" s="1" t="s">
        <v>84</v>
      </c>
      <c r="B516" s="1" t="s">
        <v>44</v>
      </c>
      <c r="C516" s="3">
        <v>8383.4</v>
      </c>
    </row>
    <row r="517" spans="1:3" x14ac:dyDescent="0.2">
      <c r="A517" s="1" t="s">
        <v>84</v>
      </c>
      <c r="B517" s="1" t="s">
        <v>20</v>
      </c>
      <c r="C517" s="3">
        <v>78073.72</v>
      </c>
    </row>
    <row r="518" spans="1:3" x14ac:dyDescent="0.2">
      <c r="A518" s="1" t="s">
        <v>84</v>
      </c>
      <c r="B518" s="1" t="s">
        <v>45</v>
      </c>
      <c r="C518" s="3">
        <v>1675.96</v>
      </c>
    </row>
    <row r="519" spans="1:3" x14ac:dyDescent="0.2">
      <c r="A519" s="1" t="s">
        <v>84</v>
      </c>
      <c r="B519" s="1" t="s">
        <v>46</v>
      </c>
      <c r="C519" s="3">
        <v>3886.46</v>
      </c>
    </row>
    <row r="520" spans="1:3" x14ac:dyDescent="0.2">
      <c r="A520" s="1" t="s">
        <v>84</v>
      </c>
      <c r="B520" s="1" t="s">
        <v>81</v>
      </c>
      <c r="C520" s="3">
        <v>266</v>
      </c>
    </row>
    <row r="521" spans="1:3" x14ac:dyDescent="0.2">
      <c r="A521" s="1" t="s">
        <v>84</v>
      </c>
      <c r="B521" s="1" t="s">
        <v>21</v>
      </c>
      <c r="C521" s="3">
        <v>22686.65</v>
      </c>
    </row>
    <row r="522" spans="1:3" x14ac:dyDescent="0.2">
      <c r="A522" s="1" t="s">
        <v>84</v>
      </c>
      <c r="B522" s="1" t="s">
        <v>22</v>
      </c>
      <c r="C522" s="3">
        <v>2825.05</v>
      </c>
    </row>
    <row r="523" spans="1:3" x14ac:dyDescent="0.2">
      <c r="A523" s="1" t="s">
        <v>84</v>
      </c>
      <c r="B523" s="1" t="s">
        <v>52</v>
      </c>
      <c r="C523" s="3">
        <v>683.33</v>
      </c>
    </row>
    <row r="524" spans="1:3" x14ac:dyDescent="0.2">
      <c r="A524" s="1" t="s">
        <v>84</v>
      </c>
      <c r="B524" s="1" t="s">
        <v>23</v>
      </c>
      <c r="C524" s="3">
        <v>27009.59</v>
      </c>
    </row>
    <row r="525" spans="1:3" x14ac:dyDescent="0.2">
      <c r="A525" s="1" t="s">
        <v>84</v>
      </c>
      <c r="B525" s="1" t="s">
        <v>47</v>
      </c>
      <c r="C525" s="3">
        <v>28150.240000000002</v>
      </c>
    </row>
    <row r="526" spans="1:3" x14ac:dyDescent="0.2">
      <c r="A526" s="1" t="s">
        <v>84</v>
      </c>
      <c r="B526" s="1" t="s">
        <v>76</v>
      </c>
      <c r="C526" s="3">
        <v>1103</v>
      </c>
    </row>
    <row r="527" spans="1:3" x14ac:dyDescent="0.2">
      <c r="A527" s="1" t="s">
        <v>84</v>
      </c>
      <c r="B527" s="1" t="s">
        <v>24</v>
      </c>
      <c r="C527" s="3">
        <v>48823.98</v>
      </c>
    </row>
    <row r="528" spans="1:3" x14ac:dyDescent="0.2">
      <c r="A528" s="1" t="s">
        <v>84</v>
      </c>
      <c r="B528" s="1" t="s">
        <v>48</v>
      </c>
      <c r="C528" s="3">
        <v>31987.34</v>
      </c>
    </row>
    <row r="529" spans="1:3" x14ac:dyDescent="0.2">
      <c r="A529" s="1" t="s">
        <v>84</v>
      </c>
      <c r="B529" s="1" t="s">
        <v>70</v>
      </c>
      <c r="C529" s="3">
        <v>754.45</v>
      </c>
    </row>
    <row r="530" spans="1:3" x14ac:dyDescent="0.2">
      <c r="A530" s="1" t="s">
        <v>84</v>
      </c>
      <c r="B530" s="1" t="s">
        <v>25</v>
      </c>
      <c r="C530" s="3">
        <v>17762.09</v>
      </c>
    </row>
    <row r="531" spans="1:3" x14ac:dyDescent="0.2">
      <c r="A531" s="1" t="s">
        <v>84</v>
      </c>
      <c r="B531" s="1" t="s">
        <v>71</v>
      </c>
      <c r="C531" s="3">
        <v>4668.38</v>
      </c>
    </row>
    <row r="532" spans="1:3" x14ac:dyDescent="0.2">
      <c r="A532" s="1" t="s">
        <v>84</v>
      </c>
      <c r="B532" s="1" t="s">
        <v>26</v>
      </c>
      <c r="C532" s="3">
        <v>112719.19</v>
      </c>
    </row>
    <row r="533" spans="1:3" x14ac:dyDescent="0.2">
      <c r="A533" s="1" t="s">
        <v>84</v>
      </c>
      <c r="B533" s="1" t="s">
        <v>27</v>
      </c>
      <c r="C533" s="3">
        <v>25107.39</v>
      </c>
    </row>
    <row r="534" spans="1:3" x14ac:dyDescent="0.2">
      <c r="A534" s="1" t="s">
        <v>84</v>
      </c>
      <c r="B534" s="1" t="s">
        <v>53</v>
      </c>
      <c r="C534" s="3">
        <v>851.7</v>
      </c>
    </row>
    <row r="535" spans="1:3" x14ac:dyDescent="0.2">
      <c r="A535" s="1" t="s">
        <v>84</v>
      </c>
      <c r="B535" s="1" t="s">
        <v>28</v>
      </c>
      <c r="C535" s="3">
        <v>35091.61</v>
      </c>
    </row>
    <row r="536" spans="1:3" x14ac:dyDescent="0.2">
      <c r="A536" s="1" t="s">
        <v>84</v>
      </c>
      <c r="B536" s="1" t="s">
        <v>29</v>
      </c>
      <c r="C536" s="3">
        <v>58888.2</v>
      </c>
    </row>
    <row r="537" spans="1:3" x14ac:dyDescent="0.2">
      <c r="A537" s="1" t="s">
        <v>84</v>
      </c>
      <c r="B537" s="1" t="s">
        <v>30</v>
      </c>
      <c r="C537" s="3">
        <v>123759.23</v>
      </c>
    </row>
    <row r="538" spans="1:3" x14ac:dyDescent="0.2">
      <c r="A538" s="1" t="s">
        <v>85</v>
      </c>
      <c r="B538" s="1" t="s">
        <v>32</v>
      </c>
      <c r="C538" s="3">
        <v>526.89</v>
      </c>
    </row>
    <row r="539" spans="1:3" x14ac:dyDescent="0.2">
      <c r="A539" s="1" t="s">
        <v>85</v>
      </c>
      <c r="B539" s="1" t="s">
        <v>50</v>
      </c>
      <c r="C539" s="3">
        <v>129.99</v>
      </c>
    </row>
    <row r="540" spans="1:3" x14ac:dyDescent="0.2">
      <c r="A540" s="1" t="s">
        <v>85</v>
      </c>
      <c r="B540" s="1" t="s">
        <v>34</v>
      </c>
      <c r="C540" s="3">
        <v>190.9</v>
      </c>
    </row>
    <row r="541" spans="1:3" x14ac:dyDescent="0.2">
      <c r="A541" s="1" t="s">
        <v>85</v>
      </c>
      <c r="B541" s="1" t="s">
        <v>4</v>
      </c>
      <c r="C541" s="3">
        <v>7142.65</v>
      </c>
    </row>
    <row r="542" spans="1:3" x14ac:dyDescent="0.2">
      <c r="A542" s="1" t="s">
        <v>85</v>
      </c>
      <c r="B542" s="1" t="s">
        <v>5</v>
      </c>
      <c r="C542" s="3">
        <v>4610.22</v>
      </c>
    </row>
    <row r="543" spans="1:3" x14ac:dyDescent="0.2">
      <c r="A543" s="1" t="s">
        <v>85</v>
      </c>
      <c r="B543" s="1" t="s">
        <v>6</v>
      </c>
      <c r="C543" s="3">
        <v>5746.71</v>
      </c>
    </row>
    <row r="544" spans="1:3" x14ac:dyDescent="0.2">
      <c r="A544" s="1" t="s">
        <v>85</v>
      </c>
      <c r="B544" s="1" t="s">
        <v>7</v>
      </c>
      <c r="C544" s="3">
        <v>231</v>
      </c>
    </row>
    <row r="545" spans="1:3" x14ac:dyDescent="0.2">
      <c r="A545" s="1" t="s">
        <v>85</v>
      </c>
      <c r="B545" s="1" t="s">
        <v>57</v>
      </c>
      <c r="C545" s="3">
        <v>170.85</v>
      </c>
    </row>
    <row r="546" spans="1:3" x14ac:dyDescent="0.2">
      <c r="A546" s="1" t="s">
        <v>85</v>
      </c>
      <c r="B546" s="1" t="s">
        <v>8</v>
      </c>
      <c r="C546" s="3">
        <v>35.6</v>
      </c>
    </row>
    <row r="547" spans="1:3" x14ac:dyDescent="0.2">
      <c r="A547" s="1" t="s">
        <v>85</v>
      </c>
      <c r="B547" s="1" t="s">
        <v>9</v>
      </c>
      <c r="C547" s="3">
        <v>599</v>
      </c>
    </row>
    <row r="548" spans="1:3" x14ac:dyDescent="0.2">
      <c r="A548" s="1" t="s">
        <v>85</v>
      </c>
      <c r="B548" s="1" t="s">
        <v>10</v>
      </c>
      <c r="C548" s="3">
        <v>9878.7900000000009</v>
      </c>
    </row>
    <row r="549" spans="1:3" x14ac:dyDescent="0.2">
      <c r="A549" s="1" t="s">
        <v>85</v>
      </c>
      <c r="B549" s="1" t="s">
        <v>11</v>
      </c>
      <c r="C549" s="3">
        <v>468.07</v>
      </c>
    </row>
    <row r="550" spans="1:3" x14ac:dyDescent="0.2">
      <c r="A550" s="1" t="s">
        <v>85</v>
      </c>
      <c r="B550" s="1" t="s">
        <v>35</v>
      </c>
      <c r="C550" s="3">
        <v>1715.01</v>
      </c>
    </row>
    <row r="551" spans="1:3" x14ac:dyDescent="0.2">
      <c r="A551" s="1" t="s">
        <v>85</v>
      </c>
      <c r="B551" s="1" t="s">
        <v>59</v>
      </c>
      <c r="C551" s="3">
        <v>904.98</v>
      </c>
    </row>
    <row r="552" spans="1:3" x14ac:dyDescent="0.2">
      <c r="A552" s="1" t="s">
        <v>85</v>
      </c>
      <c r="B552" s="1" t="s">
        <v>60</v>
      </c>
      <c r="C552" s="3">
        <v>2185.89</v>
      </c>
    </row>
    <row r="553" spans="1:3" x14ac:dyDescent="0.2">
      <c r="A553" s="1" t="s">
        <v>85</v>
      </c>
      <c r="B553" s="1" t="s">
        <v>12</v>
      </c>
      <c r="C553" s="3">
        <v>6163.88</v>
      </c>
    </row>
    <row r="554" spans="1:3" x14ac:dyDescent="0.2">
      <c r="A554" s="1" t="s">
        <v>85</v>
      </c>
      <c r="B554" s="1" t="s">
        <v>51</v>
      </c>
      <c r="C554" s="3">
        <v>180.99</v>
      </c>
    </row>
    <row r="555" spans="1:3" x14ac:dyDescent="0.2">
      <c r="A555" s="1" t="s">
        <v>85</v>
      </c>
      <c r="B555" s="1" t="s">
        <v>61</v>
      </c>
      <c r="C555" s="3">
        <v>6.8</v>
      </c>
    </row>
    <row r="556" spans="1:3" x14ac:dyDescent="0.2">
      <c r="A556" s="1" t="s">
        <v>85</v>
      </c>
      <c r="B556" s="1" t="s">
        <v>36</v>
      </c>
      <c r="C556" s="3">
        <v>199.96</v>
      </c>
    </row>
    <row r="557" spans="1:3" x14ac:dyDescent="0.2">
      <c r="A557" s="1" t="s">
        <v>85</v>
      </c>
      <c r="B557" s="1" t="s">
        <v>37</v>
      </c>
      <c r="C557" s="3">
        <v>448.8</v>
      </c>
    </row>
    <row r="558" spans="1:3" x14ac:dyDescent="0.2">
      <c r="A558" s="1" t="s">
        <v>85</v>
      </c>
      <c r="B558" s="1" t="s">
        <v>13</v>
      </c>
      <c r="C558" s="3">
        <v>1513.02</v>
      </c>
    </row>
    <row r="559" spans="1:3" x14ac:dyDescent="0.2">
      <c r="A559" s="1" t="s">
        <v>85</v>
      </c>
      <c r="B559" s="1" t="s">
        <v>14</v>
      </c>
      <c r="C559" s="3">
        <v>1030.58</v>
      </c>
    </row>
    <row r="560" spans="1:3" x14ac:dyDescent="0.2">
      <c r="A560" s="1" t="s">
        <v>85</v>
      </c>
      <c r="B560" s="1" t="s">
        <v>15</v>
      </c>
      <c r="C560" s="3">
        <v>546</v>
      </c>
    </row>
    <row r="561" spans="1:3" x14ac:dyDescent="0.2">
      <c r="A561" s="1" t="s">
        <v>85</v>
      </c>
      <c r="B561" s="1" t="s">
        <v>67</v>
      </c>
      <c r="C561" s="3">
        <v>441.9</v>
      </c>
    </row>
    <row r="562" spans="1:3" x14ac:dyDescent="0.2">
      <c r="A562" s="1" t="s">
        <v>85</v>
      </c>
      <c r="B562" s="1" t="s">
        <v>38</v>
      </c>
      <c r="C562" s="3">
        <v>32.99</v>
      </c>
    </row>
    <row r="563" spans="1:3" x14ac:dyDescent="0.2">
      <c r="A563" s="1" t="s">
        <v>85</v>
      </c>
      <c r="B563" s="1" t="s">
        <v>79</v>
      </c>
      <c r="C563" s="3">
        <v>31.2</v>
      </c>
    </row>
    <row r="564" spans="1:3" x14ac:dyDescent="0.2">
      <c r="A564" s="1" t="s">
        <v>85</v>
      </c>
      <c r="B564" s="1" t="s">
        <v>39</v>
      </c>
      <c r="C564" s="3">
        <v>384.26</v>
      </c>
    </row>
    <row r="565" spans="1:3" x14ac:dyDescent="0.2">
      <c r="A565" s="1" t="s">
        <v>85</v>
      </c>
      <c r="B565" s="1" t="s">
        <v>40</v>
      </c>
      <c r="C565" s="3">
        <v>18.600000000000001</v>
      </c>
    </row>
    <row r="566" spans="1:3" x14ac:dyDescent="0.2">
      <c r="A566" s="1" t="s">
        <v>85</v>
      </c>
      <c r="B566" s="1" t="s">
        <v>68</v>
      </c>
      <c r="C566" s="3">
        <v>179</v>
      </c>
    </row>
    <row r="567" spans="1:3" x14ac:dyDescent="0.2">
      <c r="A567" s="1" t="s">
        <v>85</v>
      </c>
      <c r="B567" s="1" t="s">
        <v>16</v>
      </c>
      <c r="C567" s="3">
        <v>5819.66</v>
      </c>
    </row>
    <row r="568" spans="1:3" x14ac:dyDescent="0.2">
      <c r="A568" s="1" t="s">
        <v>85</v>
      </c>
      <c r="B568" s="1" t="s">
        <v>17</v>
      </c>
      <c r="C568" s="3">
        <v>418.8</v>
      </c>
    </row>
    <row r="569" spans="1:3" x14ac:dyDescent="0.2">
      <c r="A569" s="1" t="s">
        <v>85</v>
      </c>
      <c r="B569" s="1" t="s">
        <v>18</v>
      </c>
      <c r="C569" s="3">
        <v>5095.07</v>
      </c>
    </row>
    <row r="570" spans="1:3" x14ac:dyDescent="0.2">
      <c r="A570" s="1" t="s">
        <v>85</v>
      </c>
      <c r="B570" s="1" t="s">
        <v>19</v>
      </c>
      <c r="C570" s="3">
        <v>11289.57</v>
      </c>
    </row>
    <row r="571" spans="1:3" x14ac:dyDescent="0.2">
      <c r="A571" s="1" t="s">
        <v>85</v>
      </c>
      <c r="B571" s="1" t="s">
        <v>41</v>
      </c>
      <c r="C571" s="3">
        <v>252.45</v>
      </c>
    </row>
    <row r="572" spans="1:3" x14ac:dyDescent="0.2">
      <c r="A572" s="1" t="s">
        <v>85</v>
      </c>
      <c r="B572" s="1" t="s">
        <v>42</v>
      </c>
      <c r="C572" s="3">
        <v>769.69</v>
      </c>
    </row>
    <row r="573" spans="1:3" x14ac:dyDescent="0.2">
      <c r="A573" s="1" t="s">
        <v>85</v>
      </c>
      <c r="B573" s="1" t="s">
        <v>43</v>
      </c>
      <c r="C573" s="3">
        <v>86.9</v>
      </c>
    </row>
    <row r="574" spans="1:3" x14ac:dyDescent="0.2">
      <c r="A574" s="1" t="s">
        <v>85</v>
      </c>
      <c r="B574" s="1" t="s">
        <v>44</v>
      </c>
      <c r="C574" s="3">
        <v>1408</v>
      </c>
    </row>
    <row r="575" spans="1:3" x14ac:dyDescent="0.2">
      <c r="A575" s="1" t="s">
        <v>85</v>
      </c>
      <c r="B575" s="1" t="s">
        <v>20</v>
      </c>
      <c r="C575" s="3">
        <v>10861.74</v>
      </c>
    </row>
    <row r="576" spans="1:3" x14ac:dyDescent="0.2">
      <c r="A576" s="1" t="s">
        <v>85</v>
      </c>
      <c r="B576" s="1" t="s">
        <v>45</v>
      </c>
      <c r="C576" s="3">
        <v>89.9</v>
      </c>
    </row>
    <row r="577" spans="1:3" x14ac:dyDescent="0.2">
      <c r="A577" s="1" t="s">
        <v>85</v>
      </c>
      <c r="B577" s="1" t="s">
        <v>21</v>
      </c>
      <c r="C577" s="3">
        <v>1365.63</v>
      </c>
    </row>
    <row r="578" spans="1:3" x14ac:dyDescent="0.2">
      <c r="A578" s="1" t="s">
        <v>85</v>
      </c>
      <c r="B578" s="1" t="s">
        <v>22</v>
      </c>
      <c r="C578" s="3">
        <v>118.89</v>
      </c>
    </row>
    <row r="579" spans="1:3" x14ac:dyDescent="0.2">
      <c r="A579" s="1" t="s">
        <v>85</v>
      </c>
      <c r="B579" s="1" t="s">
        <v>23</v>
      </c>
      <c r="C579" s="3">
        <v>3582.5</v>
      </c>
    </row>
    <row r="580" spans="1:3" x14ac:dyDescent="0.2">
      <c r="A580" s="1" t="s">
        <v>85</v>
      </c>
      <c r="B580" s="1" t="s">
        <v>47</v>
      </c>
      <c r="C580" s="3">
        <v>739.77</v>
      </c>
    </row>
    <row r="581" spans="1:3" x14ac:dyDescent="0.2">
      <c r="A581" s="1" t="s">
        <v>85</v>
      </c>
      <c r="B581" s="1" t="s">
        <v>24</v>
      </c>
      <c r="C581" s="3">
        <v>1800.1</v>
      </c>
    </row>
    <row r="582" spans="1:3" x14ac:dyDescent="0.2">
      <c r="A582" s="1" t="s">
        <v>85</v>
      </c>
      <c r="B582" s="1" t="s">
        <v>48</v>
      </c>
      <c r="C582" s="3">
        <v>2569.92</v>
      </c>
    </row>
    <row r="583" spans="1:3" x14ac:dyDescent="0.2">
      <c r="A583" s="1" t="s">
        <v>85</v>
      </c>
      <c r="B583" s="1" t="s">
        <v>70</v>
      </c>
      <c r="C583" s="3">
        <v>358</v>
      </c>
    </row>
    <row r="584" spans="1:3" x14ac:dyDescent="0.2">
      <c r="A584" s="1" t="s">
        <v>85</v>
      </c>
      <c r="B584" s="1" t="s">
        <v>25</v>
      </c>
      <c r="C584" s="3">
        <v>280.31</v>
      </c>
    </row>
    <row r="585" spans="1:3" x14ac:dyDescent="0.2">
      <c r="A585" s="1" t="s">
        <v>85</v>
      </c>
      <c r="B585" s="1" t="s">
        <v>71</v>
      </c>
      <c r="C585" s="3">
        <v>750</v>
      </c>
    </row>
    <row r="586" spans="1:3" x14ac:dyDescent="0.2">
      <c r="A586" s="1" t="s">
        <v>85</v>
      </c>
      <c r="B586" s="1" t="s">
        <v>26</v>
      </c>
      <c r="C586" s="3">
        <v>9177.09</v>
      </c>
    </row>
    <row r="587" spans="1:3" x14ac:dyDescent="0.2">
      <c r="A587" s="1" t="s">
        <v>85</v>
      </c>
      <c r="B587" s="1" t="s">
        <v>27</v>
      </c>
      <c r="C587" s="3">
        <v>1728</v>
      </c>
    </row>
    <row r="588" spans="1:3" x14ac:dyDescent="0.2">
      <c r="A588" s="1" t="s">
        <v>85</v>
      </c>
      <c r="B588" s="1" t="s">
        <v>53</v>
      </c>
      <c r="C588" s="3">
        <v>198</v>
      </c>
    </row>
    <row r="589" spans="1:3" x14ac:dyDescent="0.2">
      <c r="A589" s="1" t="s">
        <v>85</v>
      </c>
      <c r="B589" s="1" t="s">
        <v>28</v>
      </c>
      <c r="C589" s="3">
        <v>1475.69</v>
      </c>
    </row>
    <row r="590" spans="1:3" x14ac:dyDescent="0.2">
      <c r="A590" s="1" t="s">
        <v>85</v>
      </c>
      <c r="B590" s="1" t="s">
        <v>29</v>
      </c>
      <c r="C590" s="3">
        <v>3974.57</v>
      </c>
    </row>
    <row r="591" spans="1:3" x14ac:dyDescent="0.2">
      <c r="A591" s="1" t="s">
        <v>85</v>
      </c>
      <c r="B591" s="1" t="s">
        <v>30</v>
      </c>
      <c r="C591" s="3">
        <v>6251.9</v>
      </c>
    </row>
    <row r="592" spans="1:3" x14ac:dyDescent="0.2">
      <c r="A592" s="1" t="s">
        <v>86</v>
      </c>
      <c r="B592" s="1" t="s">
        <v>32</v>
      </c>
      <c r="C592" s="3">
        <v>530</v>
      </c>
    </row>
    <row r="593" spans="1:3" x14ac:dyDescent="0.2">
      <c r="A593" s="1" t="s">
        <v>86</v>
      </c>
      <c r="B593" s="1" t="s">
        <v>33</v>
      </c>
      <c r="C593" s="3">
        <v>585.79999999999995</v>
      </c>
    </row>
    <row r="594" spans="1:3" x14ac:dyDescent="0.2">
      <c r="A594" s="1" t="s">
        <v>86</v>
      </c>
      <c r="B594" s="1" t="s">
        <v>50</v>
      </c>
      <c r="C594" s="3">
        <v>69.989999999999995</v>
      </c>
    </row>
    <row r="595" spans="1:3" x14ac:dyDescent="0.2">
      <c r="A595" s="1" t="s">
        <v>86</v>
      </c>
      <c r="B595" s="1" t="s">
        <v>34</v>
      </c>
      <c r="C595" s="3">
        <v>671.8</v>
      </c>
    </row>
    <row r="596" spans="1:3" x14ac:dyDescent="0.2">
      <c r="A596" s="1" t="s">
        <v>86</v>
      </c>
      <c r="B596" s="1" t="s">
        <v>4</v>
      </c>
      <c r="C596" s="3">
        <v>10507.41</v>
      </c>
    </row>
    <row r="597" spans="1:3" x14ac:dyDescent="0.2">
      <c r="A597" s="1" t="s">
        <v>86</v>
      </c>
      <c r="B597" s="1" t="s">
        <v>5</v>
      </c>
      <c r="C597" s="3">
        <v>6936.53</v>
      </c>
    </row>
    <row r="598" spans="1:3" x14ac:dyDescent="0.2">
      <c r="A598" s="1" t="s">
        <v>86</v>
      </c>
      <c r="B598" s="1" t="s">
        <v>6</v>
      </c>
      <c r="C598" s="3">
        <v>7125.58</v>
      </c>
    </row>
    <row r="599" spans="1:3" x14ac:dyDescent="0.2">
      <c r="A599" s="1" t="s">
        <v>86</v>
      </c>
      <c r="B599" s="1" t="s">
        <v>7</v>
      </c>
      <c r="C599" s="3">
        <v>44.5</v>
      </c>
    </row>
    <row r="600" spans="1:3" x14ac:dyDescent="0.2">
      <c r="A600" s="1" t="s">
        <v>86</v>
      </c>
      <c r="B600" s="1" t="s">
        <v>57</v>
      </c>
      <c r="C600" s="3">
        <v>301.29000000000002</v>
      </c>
    </row>
    <row r="601" spans="1:3" x14ac:dyDescent="0.2">
      <c r="A601" s="1" t="s">
        <v>86</v>
      </c>
      <c r="B601" s="1" t="s">
        <v>8</v>
      </c>
      <c r="C601" s="3">
        <v>79.900000000000006</v>
      </c>
    </row>
    <row r="602" spans="1:3" x14ac:dyDescent="0.2">
      <c r="A602" s="1" t="s">
        <v>86</v>
      </c>
      <c r="B602" s="1" t="s">
        <v>58</v>
      </c>
      <c r="C602" s="3">
        <v>675.99</v>
      </c>
    </row>
    <row r="603" spans="1:3" x14ac:dyDescent="0.2">
      <c r="A603" s="1" t="s">
        <v>86</v>
      </c>
      <c r="B603" s="1" t="s">
        <v>9</v>
      </c>
      <c r="C603" s="3">
        <v>2889.99</v>
      </c>
    </row>
    <row r="604" spans="1:3" x14ac:dyDescent="0.2">
      <c r="A604" s="1" t="s">
        <v>86</v>
      </c>
      <c r="B604" s="1" t="s">
        <v>10</v>
      </c>
      <c r="C604" s="3">
        <v>8873.15</v>
      </c>
    </row>
    <row r="605" spans="1:3" x14ac:dyDescent="0.2">
      <c r="A605" s="1" t="s">
        <v>86</v>
      </c>
      <c r="B605" s="1" t="s">
        <v>11</v>
      </c>
      <c r="C605" s="3">
        <v>1330.49</v>
      </c>
    </row>
    <row r="606" spans="1:3" x14ac:dyDescent="0.2">
      <c r="A606" s="1" t="s">
        <v>86</v>
      </c>
      <c r="B606" s="1" t="s">
        <v>35</v>
      </c>
      <c r="C606" s="3">
        <v>3215.88</v>
      </c>
    </row>
    <row r="607" spans="1:3" x14ac:dyDescent="0.2">
      <c r="A607" s="1" t="s">
        <v>86</v>
      </c>
      <c r="B607" s="1" t="s">
        <v>59</v>
      </c>
      <c r="C607" s="3">
        <v>649.99</v>
      </c>
    </row>
    <row r="608" spans="1:3" x14ac:dyDescent="0.2">
      <c r="A608" s="1" t="s">
        <v>86</v>
      </c>
      <c r="B608" s="1" t="s">
        <v>60</v>
      </c>
      <c r="C608" s="3">
        <v>1063.5899999999999</v>
      </c>
    </row>
    <row r="609" spans="1:3" x14ac:dyDescent="0.2">
      <c r="A609" s="1" t="s">
        <v>86</v>
      </c>
      <c r="B609" s="1" t="s">
        <v>12</v>
      </c>
      <c r="C609" s="3">
        <v>7408.52</v>
      </c>
    </row>
    <row r="610" spans="1:3" x14ac:dyDescent="0.2">
      <c r="A610" s="1" t="s">
        <v>86</v>
      </c>
      <c r="B610" s="1" t="s">
        <v>61</v>
      </c>
      <c r="C610" s="3">
        <v>190</v>
      </c>
    </row>
    <row r="611" spans="1:3" x14ac:dyDescent="0.2">
      <c r="A611" s="1" t="s">
        <v>86</v>
      </c>
      <c r="B611" s="1" t="s">
        <v>36</v>
      </c>
      <c r="C611" s="3">
        <v>19.489999999999998</v>
      </c>
    </row>
    <row r="612" spans="1:3" x14ac:dyDescent="0.2">
      <c r="A612" s="1" t="s">
        <v>86</v>
      </c>
      <c r="B612" s="1" t="s">
        <v>13</v>
      </c>
      <c r="C612" s="3">
        <v>985.66</v>
      </c>
    </row>
    <row r="613" spans="1:3" x14ac:dyDescent="0.2">
      <c r="A613" s="1" t="s">
        <v>86</v>
      </c>
      <c r="B613" s="1" t="s">
        <v>63</v>
      </c>
      <c r="C613" s="3">
        <v>34.99</v>
      </c>
    </row>
    <row r="614" spans="1:3" x14ac:dyDescent="0.2">
      <c r="A614" s="1" t="s">
        <v>86</v>
      </c>
      <c r="B614" s="1" t="s">
        <v>14</v>
      </c>
      <c r="C614" s="3">
        <v>665.37</v>
      </c>
    </row>
    <row r="615" spans="1:3" x14ac:dyDescent="0.2">
      <c r="A615" s="1" t="s">
        <v>86</v>
      </c>
      <c r="B615" s="1" t="s">
        <v>65</v>
      </c>
      <c r="C615" s="3">
        <v>147.5</v>
      </c>
    </row>
    <row r="616" spans="1:3" x14ac:dyDescent="0.2">
      <c r="A616" s="1" t="s">
        <v>86</v>
      </c>
      <c r="B616" s="1" t="s">
        <v>15</v>
      </c>
      <c r="C616" s="3">
        <v>478.5</v>
      </c>
    </row>
    <row r="617" spans="1:3" x14ac:dyDescent="0.2">
      <c r="A617" s="1" t="s">
        <v>86</v>
      </c>
      <c r="B617" s="1" t="s">
        <v>67</v>
      </c>
      <c r="C617" s="3">
        <v>79.900000000000006</v>
      </c>
    </row>
    <row r="618" spans="1:3" x14ac:dyDescent="0.2">
      <c r="A618" s="1" t="s">
        <v>86</v>
      </c>
      <c r="B618" s="1" t="s">
        <v>39</v>
      </c>
      <c r="C618" s="3">
        <v>734.4</v>
      </c>
    </row>
    <row r="619" spans="1:3" x14ac:dyDescent="0.2">
      <c r="A619" s="1" t="s">
        <v>86</v>
      </c>
      <c r="B619" s="1" t="s">
        <v>68</v>
      </c>
      <c r="C619" s="3">
        <v>469.8</v>
      </c>
    </row>
    <row r="620" spans="1:3" x14ac:dyDescent="0.2">
      <c r="A620" s="1" t="s">
        <v>86</v>
      </c>
      <c r="B620" s="1" t="s">
        <v>16</v>
      </c>
      <c r="C620" s="3">
        <v>6568.94</v>
      </c>
    </row>
    <row r="621" spans="1:3" x14ac:dyDescent="0.2">
      <c r="A621" s="1" t="s">
        <v>86</v>
      </c>
      <c r="B621" s="1" t="s">
        <v>17</v>
      </c>
      <c r="C621" s="3">
        <v>519.88</v>
      </c>
    </row>
    <row r="622" spans="1:3" x14ac:dyDescent="0.2">
      <c r="A622" s="1" t="s">
        <v>86</v>
      </c>
      <c r="B622" s="1" t="s">
        <v>18</v>
      </c>
      <c r="C622" s="3">
        <v>8850.1299999999992</v>
      </c>
    </row>
    <row r="623" spans="1:3" x14ac:dyDescent="0.2">
      <c r="A623" s="1" t="s">
        <v>86</v>
      </c>
      <c r="B623" s="1" t="s">
        <v>19</v>
      </c>
      <c r="C623" s="3">
        <v>15301.79</v>
      </c>
    </row>
    <row r="624" spans="1:3" x14ac:dyDescent="0.2">
      <c r="A624" s="1" t="s">
        <v>86</v>
      </c>
      <c r="B624" s="1" t="s">
        <v>41</v>
      </c>
      <c r="C624" s="3">
        <v>1022.29</v>
      </c>
    </row>
    <row r="625" spans="1:3" x14ac:dyDescent="0.2">
      <c r="A625" s="1" t="s">
        <v>86</v>
      </c>
      <c r="B625" s="1" t="s">
        <v>42</v>
      </c>
      <c r="C625" s="3">
        <v>815.79</v>
      </c>
    </row>
    <row r="626" spans="1:3" x14ac:dyDescent="0.2">
      <c r="A626" s="1" t="s">
        <v>86</v>
      </c>
      <c r="B626" s="1" t="s">
        <v>43</v>
      </c>
      <c r="C626" s="3">
        <v>687.8</v>
      </c>
    </row>
    <row r="627" spans="1:3" x14ac:dyDescent="0.2">
      <c r="A627" s="1" t="s">
        <v>86</v>
      </c>
      <c r="B627" s="1" t="s">
        <v>44</v>
      </c>
      <c r="C627" s="3">
        <v>1085.28</v>
      </c>
    </row>
    <row r="628" spans="1:3" x14ac:dyDescent="0.2">
      <c r="A628" s="1" t="s">
        <v>86</v>
      </c>
      <c r="B628" s="1" t="s">
        <v>20</v>
      </c>
      <c r="C628" s="3">
        <v>3640.5</v>
      </c>
    </row>
    <row r="629" spans="1:3" x14ac:dyDescent="0.2">
      <c r="A629" s="1" t="s">
        <v>86</v>
      </c>
      <c r="B629" s="1" t="s">
        <v>45</v>
      </c>
      <c r="C629" s="3">
        <v>281</v>
      </c>
    </row>
    <row r="630" spans="1:3" x14ac:dyDescent="0.2">
      <c r="A630" s="1" t="s">
        <v>86</v>
      </c>
      <c r="B630" s="1" t="s">
        <v>46</v>
      </c>
      <c r="C630" s="3">
        <v>660</v>
      </c>
    </row>
    <row r="631" spans="1:3" x14ac:dyDescent="0.2">
      <c r="A631" s="1" t="s">
        <v>86</v>
      </c>
      <c r="B631" s="1" t="s">
        <v>21</v>
      </c>
      <c r="C631" s="3">
        <v>1139.5899999999999</v>
      </c>
    </row>
    <row r="632" spans="1:3" x14ac:dyDescent="0.2">
      <c r="A632" s="1" t="s">
        <v>86</v>
      </c>
      <c r="B632" s="1" t="s">
        <v>22</v>
      </c>
      <c r="C632" s="3">
        <v>662.24</v>
      </c>
    </row>
    <row r="633" spans="1:3" x14ac:dyDescent="0.2">
      <c r="A633" s="1" t="s">
        <v>86</v>
      </c>
      <c r="B633" s="1" t="s">
        <v>23</v>
      </c>
      <c r="C633" s="3">
        <v>3818.7</v>
      </c>
    </row>
    <row r="634" spans="1:3" x14ac:dyDescent="0.2">
      <c r="A634" s="1" t="s">
        <v>86</v>
      </c>
      <c r="B634" s="1" t="s">
        <v>47</v>
      </c>
      <c r="C634" s="3">
        <v>3720.77</v>
      </c>
    </row>
    <row r="635" spans="1:3" x14ac:dyDescent="0.2">
      <c r="A635" s="1" t="s">
        <v>86</v>
      </c>
      <c r="B635" s="1" t="s">
        <v>24</v>
      </c>
      <c r="C635" s="3">
        <v>2837.13</v>
      </c>
    </row>
    <row r="636" spans="1:3" x14ac:dyDescent="0.2">
      <c r="A636" s="1" t="s">
        <v>86</v>
      </c>
      <c r="B636" s="1" t="s">
        <v>48</v>
      </c>
      <c r="C636" s="3">
        <v>2936.2</v>
      </c>
    </row>
    <row r="637" spans="1:3" x14ac:dyDescent="0.2">
      <c r="A637" s="1" t="s">
        <v>86</v>
      </c>
      <c r="B637" s="1" t="s">
        <v>70</v>
      </c>
      <c r="C637" s="3">
        <v>2919.4</v>
      </c>
    </row>
    <row r="638" spans="1:3" x14ac:dyDescent="0.2">
      <c r="A638" s="1" t="s">
        <v>86</v>
      </c>
      <c r="B638" s="1" t="s">
        <v>25</v>
      </c>
      <c r="C638" s="3">
        <v>3502.9</v>
      </c>
    </row>
    <row r="639" spans="1:3" x14ac:dyDescent="0.2">
      <c r="A639" s="1" t="s">
        <v>86</v>
      </c>
      <c r="B639" s="1" t="s">
        <v>71</v>
      </c>
      <c r="C639" s="3">
        <v>750</v>
      </c>
    </row>
    <row r="640" spans="1:3" x14ac:dyDescent="0.2">
      <c r="A640" s="1" t="s">
        <v>86</v>
      </c>
      <c r="B640" s="1" t="s">
        <v>26</v>
      </c>
      <c r="C640" s="3">
        <v>9433.02</v>
      </c>
    </row>
    <row r="641" spans="1:3" x14ac:dyDescent="0.2">
      <c r="A641" s="1" t="s">
        <v>86</v>
      </c>
      <c r="B641" s="1" t="s">
        <v>27</v>
      </c>
      <c r="C641" s="3">
        <v>3113.16</v>
      </c>
    </row>
    <row r="642" spans="1:3" x14ac:dyDescent="0.2">
      <c r="A642" s="1" t="s">
        <v>86</v>
      </c>
      <c r="B642" s="1" t="s">
        <v>53</v>
      </c>
      <c r="C642" s="3">
        <v>50.8</v>
      </c>
    </row>
    <row r="643" spans="1:3" x14ac:dyDescent="0.2">
      <c r="A643" s="1" t="s">
        <v>86</v>
      </c>
      <c r="B643" s="1" t="s">
        <v>28</v>
      </c>
      <c r="C643" s="3">
        <v>3463.74</v>
      </c>
    </row>
    <row r="644" spans="1:3" x14ac:dyDescent="0.2">
      <c r="A644" s="1" t="s">
        <v>86</v>
      </c>
      <c r="B644" s="1" t="s">
        <v>29</v>
      </c>
      <c r="C644" s="3">
        <v>5857.16</v>
      </c>
    </row>
    <row r="645" spans="1:3" x14ac:dyDescent="0.2">
      <c r="A645" s="1" t="s">
        <v>86</v>
      </c>
      <c r="B645" s="1" t="s">
        <v>30</v>
      </c>
      <c r="C645" s="3">
        <v>15006.91</v>
      </c>
    </row>
    <row r="646" spans="1:3" x14ac:dyDescent="0.2">
      <c r="A646" s="1" t="s">
        <v>87</v>
      </c>
      <c r="B646" s="1" t="s">
        <v>32</v>
      </c>
      <c r="C646" s="3">
        <v>1109.98</v>
      </c>
    </row>
    <row r="647" spans="1:3" x14ac:dyDescent="0.2">
      <c r="A647" s="1" t="s">
        <v>87</v>
      </c>
      <c r="B647" s="1" t="s">
        <v>50</v>
      </c>
      <c r="C647" s="3">
        <v>169.89</v>
      </c>
    </row>
    <row r="648" spans="1:3" x14ac:dyDescent="0.2">
      <c r="A648" s="1" t="s">
        <v>87</v>
      </c>
      <c r="B648" s="1" t="s">
        <v>34</v>
      </c>
      <c r="C648" s="3">
        <v>568</v>
      </c>
    </row>
    <row r="649" spans="1:3" x14ac:dyDescent="0.2">
      <c r="A649" s="1" t="s">
        <v>87</v>
      </c>
      <c r="B649" s="1" t="s">
        <v>4</v>
      </c>
      <c r="C649" s="3">
        <v>7870.47</v>
      </c>
    </row>
    <row r="650" spans="1:3" x14ac:dyDescent="0.2">
      <c r="A650" s="1" t="s">
        <v>87</v>
      </c>
      <c r="B650" s="1" t="s">
        <v>5</v>
      </c>
      <c r="C650" s="3">
        <v>9882.75</v>
      </c>
    </row>
    <row r="651" spans="1:3" x14ac:dyDescent="0.2">
      <c r="A651" s="1" t="s">
        <v>87</v>
      </c>
      <c r="B651" s="1" t="s">
        <v>6</v>
      </c>
      <c r="C651" s="3">
        <v>3506.54</v>
      </c>
    </row>
    <row r="652" spans="1:3" x14ac:dyDescent="0.2">
      <c r="A652" s="1" t="s">
        <v>87</v>
      </c>
      <c r="B652" s="1" t="s">
        <v>7</v>
      </c>
      <c r="C652" s="3">
        <v>171.69</v>
      </c>
    </row>
    <row r="653" spans="1:3" x14ac:dyDescent="0.2">
      <c r="A653" s="1" t="s">
        <v>87</v>
      </c>
      <c r="B653" s="1" t="s">
        <v>56</v>
      </c>
      <c r="C653" s="3">
        <v>129.97999999999999</v>
      </c>
    </row>
    <row r="654" spans="1:3" x14ac:dyDescent="0.2">
      <c r="A654" s="1" t="s">
        <v>87</v>
      </c>
      <c r="B654" s="1" t="s">
        <v>57</v>
      </c>
      <c r="C654" s="3">
        <v>148.88999999999999</v>
      </c>
    </row>
    <row r="655" spans="1:3" x14ac:dyDescent="0.2">
      <c r="A655" s="1" t="s">
        <v>87</v>
      </c>
      <c r="B655" s="1" t="s">
        <v>8</v>
      </c>
      <c r="C655" s="3">
        <v>701.4</v>
      </c>
    </row>
    <row r="656" spans="1:3" x14ac:dyDescent="0.2">
      <c r="A656" s="1" t="s">
        <v>87</v>
      </c>
      <c r="B656" s="1" t="s">
        <v>58</v>
      </c>
      <c r="C656" s="3">
        <v>249.7</v>
      </c>
    </row>
    <row r="657" spans="1:3" x14ac:dyDescent="0.2">
      <c r="A657" s="1" t="s">
        <v>87</v>
      </c>
      <c r="B657" s="1" t="s">
        <v>9</v>
      </c>
      <c r="C657" s="3">
        <v>3319</v>
      </c>
    </row>
    <row r="658" spans="1:3" x14ac:dyDescent="0.2">
      <c r="A658" s="1" t="s">
        <v>87</v>
      </c>
      <c r="B658" s="1" t="s">
        <v>10</v>
      </c>
      <c r="C658" s="3">
        <v>11694.09</v>
      </c>
    </row>
    <row r="659" spans="1:3" x14ac:dyDescent="0.2">
      <c r="A659" s="1" t="s">
        <v>87</v>
      </c>
      <c r="B659" s="1" t="s">
        <v>11</v>
      </c>
      <c r="C659" s="3">
        <v>2013.73</v>
      </c>
    </row>
    <row r="660" spans="1:3" x14ac:dyDescent="0.2">
      <c r="A660" s="1" t="s">
        <v>87</v>
      </c>
      <c r="B660" s="1" t="s">
        <v>35</v>
      </c>
      <c r="C660" s="3">
        <v>487.89</v>
      </c>
    </row>
    <row r="661" spans="1:3" x14ac:dyDescent="0.2">
      <c r="A661" s="1" t="s">
        <v>87</v>
      </c>
      <c r="B661" s="1" t="s">
        <v>59</v>
      </c>
      <c r="C661" s="3">
        <v>29</v>
      </c>
    </row>
    <row r="662" spans="1:3" x14ac:dyDescent="0.2">
      <c r="A662" s="1" t="s">
        <v>87</v>
      </c>
      <c r="B662" s="1" t="s">
        <v>12</v>
      </c>
      <c r="C662" s="3">
        <v>7467</v>
      </c>
    </row>
    <row r="663" spans="1:3" x14ac:dyDescent="0.2">
      <c r="A663" s="1" t="s">
        <v>87</v>
      </c>
      <c r="B663" s="1" t="s">
        <v>51</v>
      </c>
      <c r="C663" s="3">
        <v>139.9</v>
      </c>
    </row>
    <row r="664" spans="1:3" x14ac:dyDescent="0.2">
      <c r="A664" s="1" t="s">
        <v>87</v>
      </c>
      <c r="B664" s="1" t="s">
        <v>61</v>
      </c>
      <c r="C664" s="3">
        <v>27</v>
      </c>
    </row>
    <row r="665" spans="1:3" x14ac:dyDescent="0.2">
      <c r="A665" s="1" t="s">
        <v>87</v>
      </c>
      <c r="B665" s="1" t="s">
        <v>36</v>
      </c>
      <c r="C665" s="3">
        <v>105</v>
      </c>
    </row>
    <row r="666" spans="1:3" x14ac:dyDescent="0.2">
      <c r="A666" s="1" t="s">
        <v>87</v>
      </c>
      <c r="B666" s="1" t="s">
        <v>13</v>
      </c>
      <c r="C666" s="3">
        <v>2875.88</v>
      </c>
    </row>
    <row r="667" spans="1:3" x14ac:dyDescent="0.2">
      <c r="A667" s="1" t="s">
        <v>87</v>
      </c>
      <c r="B667" s="1" t="s">
        <v>14</v>
      </c>
      <c r="C667" s="3">
        <v>2102.54</v>
      </c>
    </row>
    <row r="668" spans="1:3" x14ac:dyDescent="0.2">
      <c r="A668" s="1" t="s">
        <v>87</v>
      </c>
      <c r="B668" s="1" t="s">
        <v>65</v>
      </c>
      <c r="C668" s="3">
        <v>256.89</v>
      </c>
    </row>
    <row r="669" spans="1:3" x14ac:dyDescent="0.2">
      <c r="A669" s="1" t="s">
        <v>87</v>
      </c>
      <c r="B669" s="1" t="s">
        <v>15</v>
      </c>
      <c r="C669" s="3">
        <v>542.4</v>
      </c>
    </row>
    <row r="670" spans="1:3" x14ac:dyDescent="0.2">
      <c r="A670" s="1" t="s">
        <v>87</v>
      </c>
      <c r="B670" s="1" t="s">
        <v>66</v>
      </c>
      <c r="C670" s="3">
        <v>159.6</v>
      </c>
    </row>
    <row r="671" spans="1:3" x14ac:dyDescent="0.2">
      <c r="A671" s="1" t="s">
        <v>87</v>
      </c>
      <c r="B671" s="1" t="s">
        <v>67</v>
      </c>
      <c r="C671" s="3">
        <v>181.7</v>
      </c>
    </row>
    <row r="672" spans="1:3" x14ac:dyDescent="0.2">
      <c r="A672" s="1" t="s">
        <v>87</v>
      </c>
      <c r="B672" s="1" t="s">
        <v>38</v>
      </c>
      <c r="C672" s="3">
        <v>577.99</v>
      </c>
    </row>
    <row r="673" spans="1:3" x14ac:dyDescent="0.2">
      <c r="A673" s="1" t="s">
        <v>87</v>
      </c>
      <c r="B673" s="1" t="s">
        <v>40</v>
      </c>
      <c r="C673" s="3">
        <v>64.599999999999994</v>
      </c>
    </row>
    <row r="674" spans="1:3" x14ac:dyDescent="0.2">
      <c r="A674" s="1" t="s">
        <v>87</v>
      </c>
      <c r="B674" s="1" t="s">
        <v>16</v>
      </c>
      <c r="C674" s="3">
        <v>9121.44</v>
      </c>
    </row>
    <row r="675" spans="1:3" x14ac:dyDescent="0.2">
      <c r="A675" s="1" t="s">
        <v>87</v>
      </c>
      <c r="B675" s="1" t="s">
        <v>17</v>
      </c>
      <c r="C675" s="3">
        <v>179.99</v>
      </c>
    </row>
    <row r="676" spans="1:3" x14ac:dyDescent="0.2">
      <c r="A676" s="1" t="s">
        <v>87</v>
      </c>
      <c r="B676" s="1" t="s">
        <v>18</v>
      </c>
      <c r="C676" s="3">
        <v>5718.42</v>
      </c>
    </row>
    <row r="677" spans="1:3" x14ac:dyDescent="0.2">
      <c r="A677" s="1" t="s">
        <v>87</v>
      </c>
      <c r="B677" s="1" t="s">
        <v>19</v>
      </c>
      <c r="C677" s="3">
        <v>23755.83</v>
      </c>
    </row>
    <row r="678" spans="1:3" x14ac:dyDescent="0.2">
      <c r="A678" s="1" t="s">
        <v>87</v>
      </c>
      <c r="B678" s="1" t="s">
        <v>41</v>
      </c>
      <c r="C678" s="3">
        <v>650.54999999999995</v>
      </c>
    </row>
    <row r="679" spans="1:3" x14ac:dyDescent="0.2">
      <c r="A679" s="1" t="s">
        <v>87</v>
      </c>
      <c r="B679" s="1" t="s">
        <v>44</v>
      </c>
      <c r="C679" s="3">
        <v>249.8</v>
      </c>
    </row>
    <row r="680" spans="1:3" x14ac:dyDescent="0.2">
      <c r="A680" s="1" t="s">
        <v>87</v>
      </c>
      <c r="B680" s="1" t="s">
        <v>20</v>
      </c>
      <c r="C680" s="3">
        <v>4660.21</v>
      </c>
    </row>
    <row r="681" spans="1:3" x14ac:dyDescent="0.2">
      <c r="A681" s="1" t="s">
        <v>87</v>
      </c>
      <c r="B681" s="1" t="s">
        <v>46</v>
      </c>
      <c r="C681" s="3">
        <v>48.9</v>
      </c>
    </row>
    <row r="682" spans="1:3" x14ac:dyDescent="0.2">
      <c r="A682" s="1" t="s">
        <v>87</v>
      </c>
      <c r="B682" s="1" t="s">
        <v>21</v>
      </c>
      <c r="C682" s="3">
        <v>1515.63</v>
      </c>
    </row>
    <row r="683" spans="1:3" x14ac:dyDescent="0.2">
      <c r="A683" s="1" t="s">
        <v>87</v>
      </c>
      <c r="B683" s="1" t="s">
        <v>22</v>
      </c>
      <c r="C683" s="3">
        <v>485.16</v>
      </c>
    </row>
    <row r="684" spans="1:3" x14ac:dyDescent="0.2">
      <c r="A684" s="1" t="s">
        <v>87</v>
      </c>
      <c r="B684" s="1" t="s">
        <v>23</v>
      </c>
      <c r="C684" s="3">
        <v>1733.37</v>
      </c>
    </row>
    <row r="685" spans="1:3" x14ac:dyDescent="0.2">
      <c r="A685" s="1" t="s">
        <v>87</v>
      </c>
      <c r="B685" s="1" t="s">
        <v>47</v>
      </c>
      <c r="C685" s="3">
        <v>4115.24</v>
      </c>
    </row>
    <row r="686" spans="1:3" x14ac:dyDescent="0.2">
      <c r="A686" s="1" t="s">
        <v>87</v>
      </c>
      <c r="B686" s="1" t="s">
        <v>24</v>
      </c>
      <c r="C686" s="3">
        <v>4480.28</v>
      </c>
    </row>
    <row r="687" spans="1:3" x14ac:dyDescent="0.2">
      <c r="A687" s="1" t="s">
        <v>87</v>
      </c>
      <c r="B687" s="1" t="s">
        <v>48</v>
      </c>
      <c r="C687" s="3">
        <v>1979.88</v>
      </c>
    </row>
    <row r="688" spans="1:3" x14ac:dyDescent="0.2">
      <c r="A688" s="1" t="s">
        <v>87</v>
      </c>
      <c r="B688" s="1" t="s">
        <v>70</v>
      </c>
      <c r="C688" s="3">
        <v>149.69999999999999</v>
      </c>
    </row>
    <row r="689" spans="1:3" x14ac:dyDescent="0.2">
      <c r="A689" s="1" t="s">
        <v>87</v>
      </c>
      <c r="B689" s="1" t="s">
        <v>25</v>
      </c>
      <c r="C689" s="3">
        <v>3366.25</v>
      </c>
    </row>
    <row r="690" spans="1:3" x14ac:dyDescent="0.2">
      <c r="A690" s="1" t="s">
        <v>87</v>
      </c>
      <c r="B690" s="1" t="s">
        <v>26</v>
      </c>
      <c r="C690" s="3">
        <v>12733.25</v>
      </c>
    </row>
    <row r="691" spans="1:3" x14ac:dyDescent="0.2">
      <c r="A691" s="1" t="s">
        <v>87</v>
      </c>
      <c r="B691" s="1" t="s">
        <v>27</v>
      </c>
      <c r="C691" s="3">
        <v>2496.81</v>
      </c>
    </row>
    <row r="692" spans="1:3" x14ac:dyDescent="0.2">
      <c r="A692" s="1" t="s">
        <v>87</v>
      </c>
      <c r="B692" s="1" t="s">
        <v>53</v>
      </c>
      <c r="C692" s="3">
        <v>361.79</v>
      </c>
    </row>
    <row r="693" spans="1:3" x14ac:dyDescent="0.2">
      <c r="A693" s="1" t="s">
        <v>87</v>
      </c>
      <c r="B693" s="1" t="s">
        <v>28</v>
      </c>
      <c r="C693" s="3">
        <v>8037.41</v>
      </c>
    </row>
    <row r="694" spans="1:3" x14ac:dyDescent="0.2">
      <c r="A694" s="1" t="s">
        <v>87</v>
      </c>
      <c r="B694" s="1" t="s">
        <v>29</v>
      </c>
      <c r="C694" s="3">
        <v>3836.62</v>
      </c>
    </row>
    <row r="695" spans="1:3" x14ac:dyDescent="0.2">
      <c r="A695" s="1" t="s">
        <v>87</v>
      </c>
      <c r="B695" s="1" t="s">
        <v>30</v>
      </c>
      <c r="C695" s="3">
        <v>22559.82</v>
      </c>
    </row>
    <row r="696" spans="1:3" x14ac:dyDescent="0.2">
      <c r="A696" s="1" t="s">
        <v>88</v>
      </c>
      <c r="B696" s="1" t="s">
        <v>32</v>
      </c>
      <c r="C696" s="3">
        <v>528.99</v>
      </c>
    </row>
    <row r="697" spans="1:3" x14ac:dyDescent="0.2">
      <c r="A697" s="1" t="s">
        <v>88</v>
      </c>
      <c r="B697" s="1" t="s">
        <v>33</v>
      </c>
      <c r="C697" s="3">
        <v>35.9</v>
      </c>
    </row>
    <row r="698" spans="1:3" x14ac:dyDescent="0.2">
      <c r="A698" s="1" t="s">
        <v>88</v>
      </c>
      <c r="B698" s="1" t="s">
        <v>50</v>
      </c>
      <c r="C698" s="3">
        <v>110.99</v>
      </c>
    </row>
    <row r="699" spans="1:3" x14ac:dyDescent="0.2">
      <c r="A699" s="1" t="s">
        <v>88</v>
      </c>
      <c r="B699" s="1" t="s">
        <v>34</v>
      </c>
      <c r="C699" s="3">
        <v>79</v>
      </c>
    </row>
    <row r="700" spans="1:3" x14ac:dyDescent="0.2">
      <c r="A700" s="1" t="s">
        <v>88</v>
      </c>
      <c r="B700" s="1" t="s">
        <v>4</v>
      </c>
      <c r="C700" s="3">
        <v>4141.2700000000004</v>
      </c>
    </row>
    <row r="701" spans="1:3" x14ac:dyDescent="0.2">
      <c r="A701" s="1" t="s">
        <v>88</v>
      </c>
      <c r="B701" s="1" t="s">
        <v>5</v>
      </c>
      <c r="C701" s="3">
        <v>2002.57</v>
      </c>
    </row>
    <row r="702" spans="1:3" x14ac:dyDescent="0.2">
      <c r="A702" s="1" t="s">
        <v>88</v>
      </c>
      <c r="B702" s="1" t="s">
        <v>6</v>
      </c>
      <c r="C702" s="3">
        <v>3494.59</v>
      </c>
    </row>
    <row r="703" spans="1:3" x14ac:dyDescent="0.2">
      <c r="A703" s="1" t="s">
        <v>88</v>
      </c>
      <c r="B703" s="1" t="s">
        <v>7</v>
      </c>
      <c r="C703" s="3">
        <v>184.69</v>
      </c>
    </row>
    <row r="704" spans="1:3" x14ac:dyDescent="0.2">
      <c r="A704" s="1" t="s">
        <v>88</v>
      </c>
      <c r="B704" s="1" t="s">
        <v>9</v>
      </c>
      <c r="C704" s="3">
        <v>7128</v>
      </c>
    </row>
    <row r="705" spans="1:3" x14ac:dyDescent="0.2">
      <c r="A705" s="1" t="s">
        <v>88</v>
      </c>
      <c r="B705" s="1" t="s">
        <v>10</v>
      </c>
      <c r="C705" s="3">
        <v>7218.07</v>
      </c>
    </row>
    <row r="706" spans="1:3" x14ac:dyDescent="0.2">
      <c r="A706" s="1" t="s">
        <v>88</v>
      </c>
      <c r="B706" s="1" t="s">
        <v>11</v>
      </c>
      <c r="C706" s="3">
        <v>873.38</v>
      </c>
    </row>
    <row r="707" spans="1:3" x14ac:dyDescent="0.2">
      <c r="A707" s="1" t="s">
        <v>88</v>
      </c>
      <c r="B707" s="1" t="s">
        <v>35</v>
      </c>
      <c r="C707" s="3">
        <v>226.9</v>
      </c>
    </row>
    <row r="708" spans="1:3" x14ac:dyDescent="0.2">
      <c r="A708" s="1" t="s">
        <v>88</v>
      </c>
      <c r="B708" s="1" t="s">
        <v>60</v>
      </c>
      <c r="C708" s="3">
        <v>589.9</v>
      </c>
    </row>
    <row r="709" spans="1:3" x14ac:dyDescent="0.2">
      <c r="A709" s="1" t="s">
        <v>88</v>
      </c>
      <c r="B709" s="1" t="s">
        <v>12</v>
      </c>
      <c r="C709" s="3">
        <v>5458.16</v>
      </c>
    </row>
    <row r="710" spans="1:3" x14ac:dyDescent="0.2">
      <c r="A710" s="1" t="s">
        <v>88</v>
      </c>
      <c r="B710" s="1" t="s">
        <v>51</v>
      </c>
      <c r="C710" s="3">
        <v>599.9</v>
      </c>
    </row>
    <row r="711" spans="1:3" x14ac:dyDescent="0.2">
      <c r="A711" s="1" t="s">
        <v>88</v>
      </c>
      <c r="B711" s="1" t="s">
        <v>61</v>
      </c>
      <c r="C711" s="3">
        <v>309</v>
      </c>
    </row>
    <row r="712" spans="1:3" x14ac:dyDescent="0.2">
      <c r="A712" s="1" t="s">
        <v>88</v>
      </c>
      <c r="B712" s="1" t="s">
        <v>62</v>
      </c>
      <c r="C712" s="3">
        <v>47</v>
      </c>
    </row>
    <row r="713" spans="1:3" x14ac:dyDescent="0.2">
      <c r="A713" s="1" t="s">
        <v>88</v>
      </c>
      <c r="B713" s="1" t="s">
        <v>13</v>
      </c>
      <c r="C713" s="3">
        <v>2573.4299999999998</v>
      </c>
    </row>
    <row r="714" spans="1:3" x14ac:dyDescent="0.2">
      <c r="A714" s="1" t="s">
        <v>88</v>
      </c>
      <c r="B714" s="1" t="s">
        <v>63</v>
      </c>
      <c r="C714" s="3">
        <v>109.8</v>
      </c>
    </row>
    <row r="715" spans="1:3" x14ac:dyDescent="0.2">
      <c r="A715" s="1" t="s">
        <v>88</v>
      </c>
      <c r="B715" s="1" t="s">
        <v>14</v>
      </c>
      <c r="C715" s="3">
        <v>1151.07</v>
      </c>
    </row>
    <row r="716" spans="1:3" x14ac:dyDescent="0.2">
      <c r="A716" s="1" t="s">
        <v>88</v>
      </c>
      <c r="B716" s="1" t="s">
        <v>15</v>
      </c>
      <c r="C716" s="3">
        <v>143.63999999999999</v>
      </c>
    </row>
    <row r="717" spans="1:3" x14ac:dyDescent="0.2">
      <c r="A717" s="1" t="s">
        <v>88</v>
      </c>
      <c r="B717" s="1" t="s">
        <v>38</v>
      </c>
      <c r="C717" s="3">
        <v>1845.79</v>
      </c>
    </row>
    <row r="718" spans="1:3" x14ac:dyDescent="0.2">
      <c r="A718" s="1" t="s">
        <v>88</v>
      </c>
      <c r="B718" s="1" t="s">
        <v>39</v>
      </c>
      <c r="C718" s="3">
        <v>208.9</v>
      </c>
    </row>
    <row r="719" spans="1:3" x14ac:dyDescent="0.2">
      <c r="A719" s="1" t="s">
        <v>88</v>
      </c>
      <c r="B719" s="1" t="s">
        <v>16</v>
      </c>
      <c r="C719" s="3">
        <v>4441.71</v>
      </c>
    </row>
    <row r="720" spans="1:3" x14ac:dyDescent="0.2">
      <c r="A720" s="1" t="s">
        <v>88</v>
      </c>
      <c r="B720" s="1" t="s">
        <v>17</v>
      </c>
      <c r="C720" s="3">
        <v>472.88</v>
      </c>
    </row>
    <row r="721" spans="1:3" x14ac:dyDescent="0.2">
      <c r="A721" s="1" t="s">
        <v>88</v>
      </c>
      <c r="B721" s="1" t="s">
        <v>18</v>
      </c>
      <c r="C721" s="3">
        <v>5590.01</v>
      </c>
    </row>
    <row r="722" spans="1:3" x14ac:dyDescent="0.2">
      <c r="A722" s="1" t="s">
        <v>88</v>
      </c>
      <c r="B722" s="1" t="s">
        <v>19</v>
      </c>
      <c r="C722" s="3">
        <v>16286.98</v>
      </c>
    </row>
    <row r="723" spans="1:3" x14ac:dyDescent="0.2">
      <c r="A723" s="1" t="s">
        <v>88</v>
      </c>
      <c r="B723" s="1" t="s">
        <v>41</v>
      </c>
      <c r="C723" s="3">
        <v>2310</v>
      </c>
    </row>
    <row r="724" spans="1:3" x14ac:dyDescent="0.2">
      <c r="A724" s="1" t="s">
        <v>88</v>
      </c>
      <c r="B724" s="1" t="s">
        <v>43</v>
      </c>
      <c r="C724" s="3">
        <v>86.9</v>
      </c>
    </row>
    <row r="725" spans="1:3" x14ac:dyDescent="0.2">
      <c r="A725" s="1" t="s">
        <v>88</v>
      </c>
      <c r="B725" s="1" t="s">
        <v>44</v>
      </c>
      <c r="C725" s="3">
        <v>959.25</v>
      </c>
    </row>
    <row r="726" spans="1:3" x14ac:dyDescent="0.2">
      <c r="A726" s="1" t="s">
        <v>88</v>
      </c>
      <c r="B726" s="1" t="s">
        <v>20</v>
      </c>
      <c r="C726" s="3">
        <v>2443.6999999999998</v>
      </c>
    </row>
    <row r="727" spans="1:3" x14ac:dyDescent="0.2">
      <c r="A727" s="1" t="s">
        <v>88</v>
      </c>
      <c r="B727" s="1" t="s">
        <v>45</v>
      </c>
      <c r="C727" s="3">
        <v>3321.97</v>
      </c>
    </row>
    <row r="728" spans="1:3" x14ac:dyDescent="0.2">
      <c r="A728" s="1" t="s">
        <v>88</v>
      </c>
      <c r="B728" s="1" t="s">
        <v>46</v>
      </c>
      <c r="C728" s="3">
        <v>409</v>
      </c>
    </row>
    <row r="729" spans="1:3" x14ac:dyDescent="0.2">
      <c r="A729" s="1" t="s">
        <v>88</v>
      </c>
      <c r="B729" s="1" t="s">
        <v>21</v>
      </c>
      <c r="C729" s="3">
        <v>1066.49</v>
      </c>
    </row>
    <row r="730" spans="1:3" x14ac:dyDescent="0.2">
      <c r="A730" s="1" t="s">
        <v>88</v>
      </c>
      <c r="B730" s="1" t="s">
        <v>22</v>
      </c>
      <c r="C730" s="3">
        <v>422.8</v>
      </c>
    </row>
    <row r="731" spans="1:3" x14ac:dyDescent="0.2">
      <c r="A731" s="1" t="s">
        <v>88</v>
      </c>
      <c r="B731" s="1" t="s">
        <v>23</v>
      </c>
      <c r="C731" s="3">
        <v>1007.8</v>
      </c>
    </row>
    <row r="732" spans="1:3" x14ac:dyDescent="0.2">
      <c r="A732" s="1" t="s">
        <v>88</v>
      </c>
      <c r="B732" s="1" t="s">
        <v>47</v>
      </c>
      <c r="C732" s="3">
        <v>1191.33</v>
      </c>
    </row>
    <row r="733" spans="1:3" x14ac:dyDescent="0.2">
      <c r="A733" s="1" t="s">
        <v>88</v>
      </c>
      <c r="B733" s="1" t="s">
        <v>24</v>
      </c>
      <c r="C733" s="3">
        <v>2402.0700000000002</v>
      </c>
    </row>
    <row r="734" spans="1:3" x14ac:dyDescent="0.2">
      <c r="A734" s="1" t="s">
        <v>88</v>
      </c>
      <c r="B734" s="1" t="s">
        <v>48</v>
      </c>
      <c r="C734" s="3">
        <v>786.48</v>
      </c>
    </row>
    <row r="735" spans="1:3" x14ac:dyDescent="0.2">
      <c r="A735" s="1" t="s">
        <v>88</v>
      </c>
      <c r="B735" s="1" t="s">
        <v>70</v>
      </c>
      <c r="C735" s="3">
        <v>1050</v>
      </c>
    </row>
    <row r="736" spans="1:3" x14ac:dyDescent="0.2">
      <c r="A736" s="1" t="s">
        <v>88</v>
      </c>
      <c r="B736" s="1" t="s">
        <v>25</v>
      </c>
      <c r="C736" s="3">
        <v>2068.36</v>
      </c>
    </row>
    <row r="737" spans="1:3" x14ac:dyDescent="0.2">
      <c r="A737" s="1" t="s">
        <v>88</v>
      </c>
      <c r="B737" s="1" t="s">
        <v>26</v>
      </c>
      <c r="C737" s="3">
        <v>4998.5200000000004</v>
      </c>
    </row>
    <row r="738" spans="1:3" x14ac:dyDescent="0.2">
      <c r="A738" s="1" t="s">
        <v>88</v>
      </c>
      <c r="B738" s="1" t="s">
        <v>27</v>
      </c>
      <c r="C738" s="3">
        <v>2130.1799999999998</v>
      </c>
    </row>
    <row r="739" spans="1:3" x14ac:dyDescent="0.2">
      <c r="A739" s="1" t="s">
        <v>88</v>
      </c>
      <c r="B739" s="1" t="s">
        <v>28</v>
      </c>
      <c r="C739" s="3">
        <v>3172.42</v>
      </c>
    </row>
    <row r="740" spans="1:3" x14ac:dyDescent="0.2">
      <c r="A740" s="1" t="s">
        <v>88</v>
      </c>
      <c r="B740" s="1" t="s">
        <v>29</v>
      </c>
      <c r="C740" s="3">
        <v>3408.07</v>
      </c>
    </row>
    <row r="741" spans="1:3" x14ac:dyDescent="0.2">
      <c r="A741" s="1" t="s">
        <v>88</v>
      </c>
      <c r="B741" s="1" t="s">
        <v>30</v>
      </c>
      <c r="C741" s="3">
        <v>13388.88</v>
      </c>
    </row>
    <row r="742" spans="1:3" x14ac:dyDescent="0.2">
      <c r="A742" s="1" t="s">
        <v>89</v>
      </c>
      <c r="B742" s="1" t="s">
        <v>32</v>
      </c>
      <c r="C742" s="3">
        <v>5611.92</v>
      </c>
    </row>
    <row r="743" spans="1:3" x14ac:dyDescent="0.2">
      <c r="A743" s="1" t="s">
        <v>89</v>
      </c>
      <c r="B743" s="1" t="s">
        <v>33</v>
      </c>
      <c r="C743" s="3">
        <v>276.89999999999998</v>
      </c>
    </row>
    <row r="744" spans="1:3" x14ac:dyDescent="0.2">
      <c r="A744" s="1" t="s">
        <v>89</v>
      </c>
      <c r="B744" s="1" t="s">
        <v>50</v>
      </c>
      <c r="C744" s="3">
        <v>110.99</v>
      </c>
    </row>
    <row r="745" spans="1:3" x14ac:dyDescent="0.2">
      <c r="A745" s="1" t="s">
        <v>89</v>
      </c>
      <c r="B745" s="1" t="s">
        <v>34</v>
      </c>
      <c r="C745" s="3">
        <v>441.79</v>
      </c>
    </row>
    <row r="746" spans="1:3" x14ac:dyDescent="0.2">
      <c r="A746" s="1" t="s">
        <v>89</v>
      </c>
      <c r="B746" s="1" t="s">
        <v>4</v>
      </c>
      <c r="C746" s="3">
        <v>12339.95</v>
      </c>
    </row>
    <row r="747" spans="1:3" x14ac:dyDescent="0.2">
      <c r="A747" s="1" t="s">
        <v>89</v>
      </c>
      <c r="B747" s="1" t="s">
        <v>5</v>
      </c>
      <c r="C747" s="3">
        <v>4939.41</v>
      </c>
    </row>
    <row r="748" spans="1:3" x14ac:dyDescent="0.2">
      <c r="A748" s="1" t="s">
        <v>89</v>
      </c>
      <c r="B748" s="1" t="s">
        <v>6</v>
      </c>
      <c r="C748" s="3">
        <v>9443.32</v>
      </c>
    </row>
    <row r="749" spans="1:3" x14ac:dyDescent="0.2">
      <c r="A749" s="1" t="s">
        <v>89</v>
      </c>
      <c r="B749" s="1" t="s">
        <v>7</v>
      </c>
      <c r="C749" s="3">
        <v>643.08000000000004</v>
      </c>
    </row>
    <row r="750" spans="1:3" x14ac:dyDescent="0.2">
      <c r="A750" s="1" t="s">
        <v>89</v>
      </c>
      <c r="B750" s="1" t="s">
        <v>57</v>
      </c>
      <c r="C750" s="3">
        <v>313.39</v>
      </c>
    </row>
    <row r="751" spans="1:3" x14ac:dyDescent="0.2">
      <c r="A751" s="1" t="s">
        <v>89</v>
      </c>
      <c r="B751" s="1" t="s">
        <v>8</v>
      </c>
      <c r="C751" s="3">
        <v>372.45</v>
      </c>
    </row>
    <row r="752" spans="1:3" x14ac:dyDescent="0.2">
      <c r="A752" s="1" t="s">
        <v>89</v>
      </c>
      <c r="B752" s="1" t="s">
        <v>58</v>
      </c>
      <c r="C752" s="3">
        <v>49.8</v>
      </c>
    </row>
    <row r="753" spans="1:3" x14ac:dyDescent="0.2">
      <c r="A753" s="1" t="s">
        <v>89</v>
      </c>
      <c r="B753" s="1" t="s">
        <v>9</v>
      </c>
      <c r="C753" s="3">
        <v>9596.9699999999993</v>
      </c>
    </row>
    <row r="754" spans="1:3" x14ac:dyDescent="0.2">
      <c r="A754" s="1" t="s">
        <v>89</v>
      </c>
      <c r="B754" s="1" t="s">
        <v>10</v>
      </c>
      <c r="C754" s="3">
        <v>12982.91</v>
      </c>
    </row>
    <row r="755" spans="1:3" x14ac:dyDescent="0.2">
      <c r="A755" s="1" t="s">
        <v>89</v>
      </c>
      <c r="B755" s="1" t="s">
        <v>11</v>
      </c>
      <c r="C755" s="3">
        <v>5651.24</v>
      </c>
    </row>
    <row r="756" spans="1:3" x14ac:dyDescent="0.2">
      <c r="A756" s="1" t="s">
        <v>89</v>
      </c>
      <c r="B756" s="1" t="s">
        <v>35</v>
      </c>
      <c r="C756" s="3">
        <v>2593.77</v>
      </c>
    </row>
    <row r="757" spans="1:3" x14ac:dyDescent="0.2">
      <c r="A757" s="1" t="s">
        <v>89</v>
      </c>
      <c r="B757" s="1" t="s">
        <v>59</v>
      </c>
      <c r="C757" s="3">
        <v>384.98</v>
      </c>
    </row>
    <row r="758" spans="1:3" x14ac:dyDescent="0.2">
      <c r="A758" s="1" t="s">
        <v>89</v>
      </c>
      <c r="B758" s="1" t="s">
        <v>60</v>
      </c>
      <c r="C758" s="3">
        <v>1016.18</v>
      </c>
    </row>
    <row r="759" spans="1:3" x14ac:dyDescent="0.2">
      <c r="A759" s="1" t="s">
        <v>89</v>
      </c>
      <c r="B759" s="1" t="s">
        <v>12</v>
      </c>
      <c r="C759" s="3">
        <v>14245.52</v>
      </c>
    </row>
    <row r="760" spans="1:3" x14ac:dyDescent="0.2">
      <c r="A760" s="1" t="s">
        <v>89</v>
      </c>
      <c r="B760" s="1" t="s">
        <v>51</v>
      </c>
      <c r="C760" s="3">
        <v>995.54</v>
      </c>
    </row>
    <row r="761" spans="1:3" x14ac:dyDescent="0.2">
      <c r="A761" s="1" t="s">
        <v>89</v>
      </c>
      <c r="B761" s="1" t="s">
        <v>61</v>
      </c>
      <c r="C761" s="3">
        <v>190</v>
      </c>
    </row>
    <row r="762" spans="1:3" x14ac:dyDescent="0.2">
      <c r="A762" s="1" t="s">
        <v>89</v>
      </c>
      <c r="B762" s="1" t="s">
        <v>37</v>
      </c>
      <c r="C762" s="3">
        <v>34.799999999999997</v>
      </c>
    </row>
    <row r="763" spans="1:3" x14ac:dyDescent="0.2">
      <c r="A763" s="1" t="s">
        <v>89</v>
      </c>
      <c r="B763" s="1" t="s">
        <v>13</v>
      </c>
      <c r="C763" s="3">
        <v>1971.04</v>
      </c>
    </row>
    <row r="764" spans="1:3" x14ac:dyDescent="0.2">
      <c r="A764" s="1" t="s">
        <v>89</v>
      </c>
      <c r="B764" s="1" t="s">
        <v>14</v>
      </c>
      <c r="C764" s="3">
        <v>2336.9299999999998</v>
      </c>
    </row>
    <row r="765" spans="1:3" x14ac:dyDescent="0.2">
      <c r="A765" s="1" t="s">
        <v>89</v>
      </c>
      <c r="B765" s="1" t="s">
        <v>15</v>
      </c>
      <c r="C765" s="3">
        <v>1221.42</v>
      </c>
    </row>
    <row r="766" spans="1:3" x14ac:dyDescent="0.2">
      <c r="A766" s="1" t="s">
        <v>89</v>
      </c>
      <c r="B766" s="1" t="s">
        <v>67</v>
      </c>
      <c r="C766" s="3">
        <v>201.9</v>
      </c>
    </row>
    <row r="767" spans="1:3" x14ac:dyDescent="0.2">
      <c r="A767" s="1" t="s">
        <v>89</v>
      </c>
      <c r="B767" s="1" t="s">
        <v>38</v>
      </c>
      <c r="C767" s="3">
        <v>89.88</v>
      </c>
    </row>
    <row r="768" spans="1:3" x14ac:dyDescent="0.2">
      <c r="A768" s="1" t="s">
        <v>89</v>
      </c>
      <c r="B768" s="1" t="s">
        <v>79</v>
      </c>
      <c r="C768" s="3">
        <v>109.8</v>
      </c>
    </row>
    <row r="769" spans="1:3" x14ac:dyDescent="0.2">
      <c r="A769" s="1" t="s">
        <v>89</v>
      </c>
      <c r="B769" s="1" t="s">
        <v>39</v>
      </c>
      <c r="C769" s="3">
        <v>603.54999999999995</v>
      </c>
    </row>
    <row r="770" spans="1:3" x14ac:dyDescent="0.2">
      <c r="A770" s="1" t="s">
        <v>89</v>
      </c>
      <c r="B770" s="1" t="s">
        <v>40</v>
      </c>
      <c r="C770" s="3">
        <v>672.01</v>
      </c>
    </row>
    <row r="771" spans="1:3" x14ac:dyDescent="0.2">
      <c r="A771" s="1" t="s">
        <v>89</v>
      </c>
      <c r="B771" s="1" t="s">
        <v>68</v>
      </c>
      <c r="C771" s="3">
        <v>129</v>
      </c>
    </row>
    <row r="772" spans="1:3" x14ac:dyDescent="0.2">
      <c r="A772" s="1" t="s">
        <v>89</v>
      </c>
      <c r="B772" s="1" t="s">
        <v>16</v>
      </c>
      <c r="C772" s="3">
        <v>9593.2800000000007</v>
      </c>
    </row>
    <row r="773" spans="1:3" x14ac:dyDescent="0.2">
      <c r="A773" s="1" t="s">
        <v>89</v>
      </c>
      <c r="B773" s="1" t="s">
        <v>17</v>
      </c>
      <c r="C773" s="3">
        <v>578.79</v>
      </c>
    </row>
    <row r="774" spans="1:3" x14ac:dyDescent="0.2">
      <c r="A774" s="1" t="s">
        <v>89</v>
      </c>
      <c r="B774" s="1" t="s">
        <v>18</v>
      </c>
      <c r="C774" s="3">
        <v>7213.53</v>
      </c>
    </row>
    <row r="775" spans="1:3" x14ac:dyDescent="0.2">
      <c r="A775" s="1" t="s">
        <v>89</v>
      </c>
      <c r="B775" s="1" t="s">
        <v>19</v>
      </c>
      <c r="C775" s="3">
        <v>41604.78</v>
      </c>
    </row>
    <row r="776" spans="1:3" x14ac:dyDescent="0.2">
      <c r="A776" s="1" t="s">
        <v>89</v>
      </c>
      <c r="B776" s="1" t="s">
        <v>41</v>
      </c>
      <c r="C776" s="3">
        <v>237.65</v>
      </c>
    </row>
    <row r="777" spans="1:3" x14ac:dyDescent="0.2">
      <c r="A777" s="1" t="s">
        <v>89</v>
      </c>
      <c r="B777" s="1" t="s">
        <v>42</v>
      </c>
      <c r="C777" s="3">
        <v>959.99</v>
      </c>
    </row>
    <row r="778" spans="1:3" x14ac:dyDescent="0.2">
      <c r="A778" s="1" t="s">
        <v>89</v>
      </c>
      <c r="B778" s="1" t="s">
        <v>43</v>
      </c>
      <c r="C778" s="3">
        <v>970.4</v>
      </c>
    </row>
    <row r="779" spans="1:3" x14ac:dyDescent="0.2">
      <c r="A779" s="1" t="s">
        <v>89</v>
      </c>
      <c r="B779" s="1" t="s">
        <v>44</v>
      </c>
      <c r="C779" s="3">
        <v>1341.65</v>
      </c>
    </row>
    <row r="780" spans="1:3" x14ac:dyDescent="0.2">
      <c r="A780" s="1" t="s">
        <v>89</v>
      </c>
      <c r="B780" s="1" t="s">
        <v>20</v>
      </c>
      <c r="C780" s="3">
        <v>5380.52</v>
      </c>
    </row>
    <row r="781" spans="1:3" x14ac:dyDescent="0.2">
      <c r="A781" s="1" t="s">
        <v>89</v>
      </c>
      <c r="B781" s="1" t="s">
        <v>45</v>
      </c>
      <c r="C781" s="3">
        <v>1528.9</v>
      </c>
    </row>
    <row r="782" spans="1:3" x14ac:dyDescent="0.2">
      <c r="A782" s="1" t="s">
        <v>89</v>
      </c>
      <c r="B782" s="1" t="s">
        <v>46</v>
      </c>
      <c r="C782" s="3">
        <v>1051.8800000000001</v>
      </c>
    </row>
    <row r="783" spans="1:3" x14ac:dyDescent="0.2">
      <c r="A783" s="1" t="s">
        <v>89</v>
      </c>
      <c r="B783" s="1" t="s">
        <v>21</v>
      </c>
      <c r="C783" s="3">
        <v>1635.26</v>
      </c>
    </row>
    <row r="784" spans="1:3" x14ac:dyDescent="0.2">
      <c r="A784" s="1" t="s">
        <v>89</v>
      </c>
      <c r="B784" s="1" t="s">
        <v>22</v>
      </c>
      <c r="C784" s="3">
        <v>274.95999999999998</v>
      </c>
    </row>
    <row r="785" spans="1:3" x14ac:dyDescent="0.2">
      <c r="A785" s="1" t="s">
        <v>89</v>
      </c>
      <c r="B785" s="1" t="s">
        <v>23</v>
      </c>
      <c r="C785" s="3">
        <v>6410.5</v>
      </c>
    </row>
    <row r="786" spans="1:3" x14ac:dyDescent="0.2">
      <c r="A786" s="1" t="s">
        <v>89</v>
      </c>
      <c r="B786" s="1" t="s">
        <v>47</v>
      </c>
      <c r="C786" s="3">
        <v>3519.57</v>
      </c>
    </row>
    <row r="787" spans="1:3" x14ac:dyDescent="0.2">
      <c r="A787" s="1" t="s">
        <v>89</v>
      </c>
      <c r="B787" s="1" t="s">
        <v>24</v>
      </c>
      <c r="C787" s="3">
        <v>6585.83</v>
      </c>
    </row>
    <row r="788" spans="1:3" x14ac:dyDescent="0.2">
      <c r="A788" s="1" t="s">
        <v>89</v>
      </c>
      <c r="B788" s="1" t="s">
        <v>48</v>
      </c>
      <c r="C788" s="3">
        <v>2864.78</v>
      </c>
    </row>
    <row r="789" spans="1:3" x14ac:dyDescent="0.2">
      <c r="A789" s="1" t="s">
        <v>89</v>
      </c>
      <c r="B789" s="1" t="s">
        <v>70</v>
      </c>
      <c r="C789" s="3">
        <v>77.8</v>
      </c>
    </row>
    <row r="790" spans="1:3" x14ac:dyDescent="0.2">
      <c r="A790" s="1" t="s">
        <v>89</v>
      </c>
      <c r="B790" s="1" t="s">
        <v>25</v>
      </c>
      <c r="C790" s="3">
        <v>781.89</v>
      </c>
    </row>
    <row r="791" spans="1:3" x14ac:dyDescent="0.2">
      <c r="A791" s="1" t="s">
        <v>89</v>
      </c>
      <c r="B791" s="1" t="s">
        <v>71</v>
      </c>
      <c r="C791" s="3">
        <v>640.99</v>
      </c>
    </row>
    <row r="792" spans="1:3" x14ac:dyDescent="0.2">
      <c r="A792" s="1" t="s">
        <v>89</v>
      </c>
      <c r="B792" s="1" t="s">
        <v>26</v>
      </c>
      <c r="C792" s="3">
        <v>20364.509999999998</v>
      </c>
    </row>
    <row r="793" spans="1:3" x14ac:dyDescent="0.2">
      <c r="A793" s="1" t="s">
        <v>89</v>
      </c>
      <c r="B793" s="1" t="s">
        <v>27</v>
      </c>
      <c r="C793" s="3">
        <v>4526.59</v>
      </c>
    </row>
    <row r="794" spans="1:3" x14ac:dyDescent="0.2">
      <c r="A794" s="1" t="s">
        <v>89</v>
      </c>
      <c r="B794" s="1" t="s">
        <v>53</v>
      </c>
      <c r="C794" s="3">
        <v>198</v>
      </c>
    </row>
    <row r="795" spans="1:3" x14ac:dyDescent="0.2">
      <c r="A795" s="1" t="s">
        <v>89</v>
      </c>
      <c r="B795" s="1" t="s">
        <v>28</v>
      </c>
      <c r="C795" s="3">
        <v>10608.94</v>
      </c>
    </row>
    <row r="796" spans="1:3" x14ac:dyDescent="0.2">
      <c r="A796" s="1" t="s">
        <v>89</v>
      </c>
      <c r="B796" s="1" t="s">
        <v>29</v>
      </c>
      <c r="C796" s="3">
        <v>8949.2000000000007</v>
      </c>
    </row>
    <row r="797" spans="1:3" x14ac:dyDescent="0.2">
      <c r="A797" s="1" t="s">
        <v>89</v>
      </c>
      <c r="B797" s="1" t="s">
        <v>30</v>
      </c>
      <c r="C797" s="3">
        <v>31049.78</v>
      </c>
    </row>
    <row r="798" spans="1:3" x14ac:dyDescent="0.2">
      <c r="A798" s="1" t="s">
        <v>90</v>
      </c>
      <c r="B798" s="1" t="s">
        <v>32</v>
      </c>
      <c r="C798" s="3">
        <v>318.98</v>
      </c>
    </row>
    <row r="799" spans="1:3" x14ac:dyDescent="0.2">
      <c r="A799" s="1" t="s">
        <v>90</v>
      </c>
      <c r="B799" s="1" t="s">
        <v>33</v>
      </c>
      <c r="C799" s="3">
        <v>468.9</v>
      </c>
    </row>
    <row r="800" spans="1:3" x14ac:dyDescent="0.2">
      <c r="A800" s="1" t="s">
        <v>90</v>
      </c>
      <c r="B800" s="1" t="s">
        <v>50</v>
      </c>
      <c r="C800" s="3">
        <v>221.98</v>
      </c>
    </row>
    <row r="801" spans="1:3" x14ac:dyDescent="0.2">
      <c r="A801" s="1" t="s">
        <v>90</v>
      </c>
      <c r="B801" s="1" t="s">
        <v>34</v>
      </c>
      <c r="C801" s="3">
        <v>239.7</v>
      </c>
    </row>
    <row r="802" spans="1:3" x14ac:dyDescent="0.2">
      <c r="A802" s="1" t="s">
        <v>90</v>
      </c>
      <c r="B802" s="1" t="s">
        <v>4</v>
      </c>
      <c r="C802" s="3">
        <v>10134.68</v>
      </c>
    </row>
    <row r="803" spans="1:3" x14ac:dyDescent="0.2">
      <c r="A803" s="1" t="s">
        <v>90</v>
      </c>
      <c r="B803" s="1" t="s">
        <v>5</v>
      </c>
      <c r="C803" s="3">
        <v>4293.09</v>
      </c>
    </row>
    <row r="804" spans="1:3" x14ac:dyDescent="0.2">
      <c r="A804" s="1" t="s">
        <v>90</v>
      </c>
      <c r="B804" s="1" t="s">
        <v>6</v>
      </c>
      <c r="C804" s="3">
        <v>3777.75</v>
      </c>
    </row>
    <row r="805" spans="1:3" x14ac:dyDescent="0.2">
      <c r="A805" s="1" t="s">
        <v>90</v>
      </c>
      <c r="B805" s="1" t="s">
        <v>7</v>
      </c>
      <c r="C805" s="3">
        <v>133.9</v>
      </c>
    </row>
    <row r="806" spans="1:3" x14ac:dyDescent="0.2">
      <c r="A806" s="1" t="s">
        <v>90</v>
      </c>
      <c r="B806" s="1" t="s">
        <v>57</v>
      </c>
      <c r="C806" s="3">
        <v>120</v>
      </c>
    </row>
    <row r="807" spans="1:3" x14ac:dyDescent="0.2">
      <c r="A807" s="1" t="s">
        <v>90</v>
      </c>
      <c r="B807" s="1" t="s">
        <v>9</v>
      </c>
      <c r="C807" s="3">
        <v>2349.9899999999998</v>
      </c>
    </row>
    <row r="808" spans="1:3" x14ac:dyDescent="0.2">
      <c r="A808" s="1" t="s">
        <v>90</v>
      </c>
      <c r="B808" s="1" t="s">
        <v>10</v>
      </c>
      <c r="C808" s="3">
        <v>5276.15</v>
      </c>
    </row>
    <row r="809" spans="1:3" x14ac:dyDescent="0.2">
      <c r="A809" s="1" t="s">
        <v>90</v>
      </c>
      <c r="B809" s="1" t="s">
        <v>11</v>
      </c>
      <c r="C809" s="3">
        <v>1670.49</v>
      </c>
    </row>
    <row r="810" spans="1:3" x14ac:dyDescent="0.2">
      <c r="A810" s="1" t="s">
        <v>90</v>
      </c>
      <c r="B810" s="1" t="s">
        <v>35</v>
      </c>
      <c r="C810" s="3">
        <v>210</v>
      </c>
    </row>
    <row r="811" spans="1:3" x14ac:dyDescent="0.2">
      <c r="A811" s="1" t="s">
        <v>90</v>
      </c>
      <c r="B811" s="1" t="s">
        <v>59</v>
      </c>
      <c r="C811" s="3">
        <v>297</v>
      </c>
    </row>
    <row r="812" spans="1:3" x14ac:dyDescent="0.2">
      <c r="A812" s="1" t="s">
        <v>90</v>
      </c>
      <c r="B812" s="1" t="s">
        <v>12</v>
      </c>
      <c r="C812" s="3">
        <v>3490.87</v>
      </c>
    </row>
    <row r="813" spans="1:3" x14ac:dyDescent="0.2">
      <c r="A813" s="1" t="s">
        <v>90</v>
      </c>
      <c r="B813" s="1" t="s">
        <v>51</v>
      </c>
      <c r="C813" s="3">
        <v>300.3</v>
      </c>
    </row>
    <row r="814" spans="1:3" x14ac:dyDescent="0.2">
      <c r="A814" s="1" t="s">
        <v>90</v>
      </c>
      <c r="B814" s="1" t="s">
        <v>36</v>
      </c>
      <c r="C814" s="3">
        <v>90</v>
      </c>
    </row>
    <row r="815" spans="1:3" x14ac:dyDescent="0.2">
      <c r="A815" s="1" t="s">
        <v>90</v>
      </c>
      <c r="B815" s="1" t="s">
        <v>37</v>
      </c>
      <c r="C815" s="3">
        <v>25</v>
      </c>
    </row>
    <row r="816" spans="1:3" x14ac:dyDescent="0.2">
      <c r="A816" s="1" t="s">
        <v>90</v>
      </c>
      <c r="B816" s="1" t="s">
        <v>13</v>
      </c>
      <c r="C816" s="3">
        <v>1446.84</v>
      </c>
    </row>
    <row r="817" spans="1:3" x14ac:dyDescent="0.2">
      <c r="A817" s="1" t="s">
        <v>90</v>
      </c>
      <c r="B817" s="1" t="s">
        <v>14</v>
      </c>
      <c r="C817" s="3">
        <v>277.8</v>
      </c>
    </row>
    <row r="818" spans="1:3" x14ac:dyDescent="0.2">
      <c r="A818" s="1" t="s">
        <v>90</v>
      </c>
      <c r="B818" s="1" t="s">
        <v>15</v>
      </c>
      <c r="C818" s="3">
        <v>199.7</v>
      </c>
    </row>
    <row r="819" spans="1:3" x14ac:dyDescent="0.2">
      <c r="A819" s="1" t="s">
        <v>90</v>
      </c>
      <c r="B819" s="1" t="s">
        <v>67</v>
      </c>
      <c r="C819" s="3">
        <v>152</v>
      </c>
    </row>
    <row r="820" spans="1:3" x14ac:dyDescent="0.2">
      <c r="A820" s="1" t="s">
        <v>90</v>
      </c>
      <c r="B820" s="1" t="s">
        <v>38</v>
      </c>
      <c r="C820" s="3">
        <v>310</v>
      </c>
    </row>
    <row r="821" spans="1:3" x14ac:dyDescent="0.2">
      <c r="A821" s="1" t="s">
        <v>90</v>
      </c>
      <c r="B821" s="1" t="s">
        <v>39</v>
      </c>
      <c r="C821" s="3">
        <v>149.9</v>
      </c>
    </row>
    <row r="822" spans="1:3" x14ac:dyDescent="0.2">
      <c r="A822" s="1" t="s">
        <v>90</v>
      </c>
      <c r="B822" s="1" t="s">
        <v>40</v>
      </c>
      <c r="C822" s="3">
        <v>215.56</v>
      </c>
    </row>
    <row r="823" spans="1:3" x14ac:dyDescent="0.2">
      <c r="A823" s="1" t="s">
        <v>90</v>
      </c>
      <c r="B823" s="1" t="s">
        <v>16</v>
      </c>
      <c r="C823" s="3">
        <v>1515.42</v>
      </c>
    </row>
    <row r="824" spans="1:3" x14ac:dyDescent="0.2">
      <c r="A824" s="1" t="s">
        <v>90</v>
      </c>
      <c r="B824" s="1" t="s">
        <v>17</v>
      </c>
      <c r="C824" s="3">
        <v>219.8</v>
      </c>
    </row>
    <row r="825" spans="1:3" x14ac:dyDescent="0.2">
      <c r="A825" s="1" t="s">
        <v>90</v>
      </c>
      <c r="B825" s="1" t="s">
        <v>18</v>
      </c>
      <c r="C825" s="3">
        <v>3732.85</v>
      </c>
    </row>
    <row r="826" spans="1:3" x14ac:dyDescent="0.2">
      <c r="A826" s="1" t="s">
        <v>90</v>
      </c>
      <c r="B826" s="1" t="s">
        <v>19</v>
      </c>
      <c r="C826" s="3">
        <v>10290.19</v>
      </c>
    </row>
    <row r="827" spans="1:3" x14ac:dyDescent="0.2">
      <c r="A827" s="1" t="s">
        <v>90</v>
      </c>
      <c r="B827" s="1" t="s">
        <v>41</v>
      </c>
      <c r="C827" s="3">
        <v>308.5</v>
      </c>
    </row>
    <row r="828" spans="1:3" x14ac:dyDescent="0.2">
      <c r="A828" s="1" t="s">
        <v>90</v>
      </c>
      <c r="B828" s="1" t="s">
        <v>42</v>
      </c>
      <c r="C828" s="3">
        <v>599.5</v>
      </c>
    </row>
    <row r="829" spans="1:3" x14ac:dyDescent="0.2">
      <c r="A829" s="1" t="s">
        <v>90</v>
      </c>
      <c r="B829" s="1" t="s">
        <v>43</v>
      </c>
      <c r="C829" s="3">
        <v>498.89</v>
      </c>
    </row>
    <row r="830" spans="1:3" x14ac:dyDescent="0.2">
      <c r="A830" s="1" t="s">
        <v>90</v>
      </c>
      <c r="B830" s="1" t="s">
        <v>44</v>
      </c>
      <c r="C830" s="3">
        <v>820.6</v>
      </c>
    </row>
    <row r="831" spans="1:3" x14ac:dyDescent="0.2">
      <c r="A831" s="1" t="s">
        <v>90</v>
      </c>
      <c r="B831" s="1" t="s">
        <v>20</v>
      </c>
      <c r="C831" s="3">
        <v>2506.09</v>
      </c>
    </row>
    <row r="832" spans="1:3" x14ac:dyDescent="0.2">
      <c r="A832" s="1" t="s">
        <v>90</v>
      </c>
      <c r="B832" s="1" t="s">
        <v>45</v>
      </c>
      <c r="C832" s="3">
        <v>874.3</v>
      </c>
    </row>
    <row r="833" spans="1:3" x14ac:dyDescent="0.2">
      <c r="A833" s="1" t="s">
        <v>90</v>
      </c>
      <c r="B833" s="1" t="s">
        <v>21</v>
      </c>
      <c r="C833" s="3">
        <v>630.59</v>
      </c>
    </row>
    <row r="834" spans="1:3" x14ac:dyDescent="0.2">
      <c r="A834" s="1" t="s">
        <v>90</v>
      </c>
      <c r="B834" s="1" t="s">
        <v>22</v>
      </c>
      <c r="C834" s="3">
        <v>192.89</v>
      </c>
    </row>
    <row r="835" spans="1:3" x14ac:dyDescent="0.2">
      <c r="A835" s="1" t="s">
        <v>90</v>
      </c>
      <c r="B835" s="1" t="s">
        <v>23</v>
      </c>
      <c r="C835" s="3">
        <v>1381.6</v>
      </c>
    </row>
    <row r="836" spans="1:3" x14ac:dyDescent="0.2">
      <c r="A836" s="1" t="s">
        <v>90</v>
      </c>
      <c r="B836" s="1" t="s">
        <v>47</v>
      </c>
      <c r="C836" s="3">
        <v>1382.6</v>
      </c>
    </row>
    <row r="837" spans="1:3" x14ac:dyDescent="0.2">
      <c r="A837" s="1" t="s">
        <v>90</v>
      </c>
      <c r="B837" s="1" t="s">
        <v>76</v>
      </c>
      <c r="C837" s="3">
        <v>231.2</v>
      </c>
    </row>
    <row r="838" spans="1:3" x14ac:dyDescent="0.2">
      <c r="A838" s="1" t="s">
        <v>90</v>
      </c>
      <c r="B838" s="1" t="s">
        <v>24</v>
      </c>
      <c r="C838" s="3">
        <v>1985.57</v>
      </c>
    </row>
    <row r="839" spans="1:3" x14ac:dyDescent="0.2">
      <c r="A839" s="1" t="s">
        <v>90</v>
      </c>
      <c r="B839" s="1" t="s">
        <v>48</v>
      </c>
      <c r="C839" s="3">
        <v>1396.78</v>
      </c>
    </row>
    <row r="840" spans="1:3" x14ac:dyDescent="0.2">
      <c r="A840" s="1" t="s">
        <v>90</v>
      </c>
      <c r="B840" s="1" t="s">
        <v>26</v>
      </c>
      <c r="C840" s="3">
        <v>5675.69</v>
      </c>
    </row>
    <row r="841" spans="1:3" x14ac:dyDescent="0.2">
      <c r="A841" s="1" t="s">
        <v>90</v>
      </c>
      <c r="B841" s="1" t="s">
        <v>27</v>
      </c>
      <c r="C841" s="3">
        <v>1208.5999999999999</v>
      </c>
    </row>
    <row r="842" spans="1:3" x14ac:dyDescent="0.2">
      <c r="A842" s="1" t="s">
        <v>90</v>
      </c>
      <c r="B842" s="1" t="s">
        <v>53</v>
      </c>
      <c r="C842" s="3">
        <v>297</v>
      </c>
    </row>
    <row r="843" spans="1:3" x14ac:dyDescent="0.2">
      <c r="A843" s="1" t="s">
        <v>90</v>
      </c>
      <c r="B843" s="1" t="s">
        <v>28</v>
      </c>
      <c r="C843" s="3">
        <v>2875.69</v>
      </c>
    </row>
    <row r="844" spans="1:3" x14ac:dyDescent="0.2">
      <c r="A844" s="1" t="s">
        <v>90</v>
      </c>
      <c r="B844" s="1" t="s">
        <v>29</v>
      </c>
      <c r="C844" s="3">
        <v>3808.8</v>
      </c>
    </row>
    <row r="845" spans="1:3" x14ac:dyDescent="0.2">
      <c r="A845" s="1" t="s">
        <v>90</v>
      </c>
      <c r="B845" s="1" t="s">
        <v>30</v>
      </c>
      <c r="C845" s="3">
        <v>7736.18</v>
      </c>
    </row>
    <row r="846" spans="1:3" x14ac:dyDescent="0.2">
      <c r="A846" s="1" t="s">
        <v>91</v>
      </c>
      <c r="B846" s="1" t="s">
        <v>32</v>
      </c>
      <c r="C846" s="3">
        <v>4903.53</v>
      </c>
    </row>
    <row r="847" spans="1:3" x14ac:dyDescent="0.2">
      <c r="A847" s="1" t="s">
        <v>91</v>
      </c>
      <c r="B847" s="1" t="s">
        <v>33</v>
      </c>
      <c r="C847" s="3">
        <v>3353.81</v>
      </c>
    </row>
    <row r="848" spans="1:3" x14ac:dyDescent="0.2">
      <c r="A848" s="1" t="s">
        <v>91</v>
      </c>
      <c r="B848" s="1" t="s">
        <v>50</v>
      </c>
      <c r="C848" s="3">
        <v>710.82</v>
      </c>
    </row>
    <row r="849" spans="1:3" x14ac:dyDescent="0.2">
      <c r="A849" s="1" t="s">
        <v>91</v>
      </c>
      <c r="B849" s="1" t="s">
        <v>34</v>
      </c>
      <c r="C849" s="3">
        <v>2841.27</v>
      </c>
    </row>
    <row r="850" spans="1:3" x14ac:dyDescent="0.2">
      <c r="A850" s="1" t="s">
        <v>91</v>
      </c>
      <c r="B850" s="1" t="s">
        <v>4</v>
      </c>
      <c r="C850" s="3">
        <v>28134.02</v>
      </c>
    </row>
    <row r="851" spans="1:3" x14ac:dyDescent="0.2">
      <c r="A851" s="1" t="s">
        <v>91</v>
      </c>
      <c r="B851" s="1" t="s">
        <v>5</v>
      </c>
      <c r="C851" s="3">
        <v>21764.45</v>
      </c>
    </row>
    <row r="852" spans="1:3" x14ac:dyDescent="0.2">
      <c r="A852" s="1" t="s">
        <v>91</v>
      </c>
      <c r="B852" s="1" t="s">
        <v>6</v>
      </c>
      <c r="C852" s="3">
        <v>45598.47</v>
      </c>
    </row>
    <row r="853" spans="1:3" x14ac:dyDescent="0.2">
      <c r="A853" s="1" t="s">
        <v>91</v>
      </c>
      <c r="B853" s="1" t="s">
        <v>7</v>
      </c>
      <c r="C853" s="3">
        <v>3003.25</v>
      </c>
    </row>
    <row r="854" spans="1:3" x14ac:dyDescent="0.2">
      <c r="A854" s="1" t="s">
        <v>91</v>
      </c>
      <c r="B854" s="1" t="s">
        <v>56</v>
      </c>
      <c r="C854" s="3">
        <v>121.99</v>
      </c>
    </row>
    <row r="855" spans="1:3" x14ac:dyDescent="0.2">
      <c r="A855" s="1" t="s">
        <v>91</v>
      </c>
      <c r="B855" s="1" t="s">
        <v>57</v>
      </c>
      <c r="C855" s="3">
        <v>1764.45</v>
      </c>
    </row>
    <row r="856" spans="1:3" x14ac:dyDescent="0.2">
      <c r="A856" s="1" t="s">
        <v>91</v>
      </c>
      <c r="B856" s="1" t="s">
        <v>8</v>
      </c>
      <c r="C856" s="3">
        <v>190.16</v>
      </c>
    </row>
    <row r="857" spans="1:3" x14ac:dyDescent="0.2">
      <c r="A857" s="1" t="s">
        <v>91</v>
      </c>
      <c r="B857" s="1" t="s">
        <v>58</v>
      </c>
      <c r="C857" s="3">
        <v>293.60000000000002</v>
      </c>
    </row>
    <row r="858" spans="1:3" x14ac:dyDescent="0.2">
      <c r="A858" s="1" t="s">
        <v>91</v>
      </c>
      <c r="B858" s="1" t="s">
        <v>9</v>
      </c>
      <c r="C858" s="3">
        <v>6676.98</v>
      </c>
    </row>
    <row r="859" spans="1:3" x14ac:dyDescent="0.2">
      <c r="A859" s="1" t="s">
        <v>91</v>
      </c>
      <c r="B859" s="1" t="s">
        <v>10</v>
      </c>
      <c r="C859" s="3">
        <v>44127.09</v>
      </c>
    </row>
    <row r="860" spans="1:3" x14ac:dyDescent="0.2">
      <c r="A860" s="1" t="s">
        <v>91</v>
      </c>
      <c r="B860" s="1" t="s">
        <v>11</v>
      </c>
      <c r="C860" s="3">
        <v>6483.52</v>
      </c>
    </row>
    <row r="861" spans="1:3" x14ac:dyDescent="0.2">
      <c r="A861" s="1" t="s">
        <v>91</v>
      </c>
      <c r="B861" s="1" t="s">
        <v>35</v>
      </c>
      <c r="C861" s="3">
        <v>9200.82</v>
      </c>
    </row>
    <row r="862" spans="1:3" x14ac:dyDescent="0.2">
      <c r="A862" s="1" t="s">
        <v>91</v>
      </c>
      <c r="B862" s="1" t="s">
        <v>59</v>
      </c>
      <c r="C862" s="3">
        <v>2061.88</v>
      </c>
    </row>
    <row r="863" spans="1:3" x14ac:dyDescent="0.2">
      <c r="A863" s="1" t="s">
        <v>91</v>
      </c>
      <c r="B863" s="1" t="s">
        <v>60</v>
      </c>
      <c r="C863" s="3">
        <v>2184.5100000000002</v>
      </c>
    </row>
    <row r="864" spans="1:3" x14ac:dyDescent="0.2">
      <c r="A864" s="1" t="s">
        <v>91</v>
      </c>
      <c r="B864" s="1" t="s">
        <v>12</v>
      </c>
      <c r="C864" s="3">
        <v>37539.120000000003</v>
      </c>
    </row>
    <row r="865" spans="1:3" x14ac:dyDescent="0.2">
      <c r="A865" s="1" t="s">
        <v>91</v>
      </c>
      <c r="B865" s="1" t="s">
        <v>51</v>
      </c>
      <c r="C865" s="3">
        <v>648.59</v>
      </c>
    </row>
    <row r="866" spans="1:3" x14ac:dyDescent="0.2">
      <c r="A866" s="1" t="s">
        <v>91</v>
      </c>
      <c r="B866" s="1" t="s">
        <v>61</v>
      </c>
      <c r="C866" s="3">
        <v>266.98</v>
      </c>
    </row>
    <row r="867" spans="1:3" x14ac:dyDescent="0.2">
      <c r="A867" s="1" t="s">
        <v>91</v>
      </c>
      <c r="B867" s="1" t="s">
        <v>62</v>
      </c>
      <c r="C867" s="3">
        <v>97</v>
      </c>
    </row>
    <row r="868" spans="1:3" x14ac:dyDescent="0.2">
      <c r="A868" s="1" t="s">
        <v>91</v>
      </c>
      <c r="B868" s="1" t="s">
        <v>36</v>
      </c>
      <c r="C868" s="3">
        <v>1449.32</v>
      </c>
    </row>
    <row r="869" spans="1:3" x14ac:dyDescent="0.2">
      <c r="A869" s="1" t="s">
        <v>91</v>
      </c>
      <c r="B869" s="1" t="s">
        <v>37</v>
      </c>
      <c r="C869" s="3">
        <v>104.5</v>
      </c>
    </row>
    <row r="870" spans="1:3" x14ac:dyDescent="0.2">
      <c r="A870" s="1" t="s">
        <v>91</v>
      </c>
      <c r="B870" s="1" t="s">
        <v>13</v>
      </c>
      <c r="C870" s="3">
        <v>10991.61</v>
      </c>
    </row>
    <row r="871" spans="1:3" x14ac:dyDescent="0.2">
      <c r="A871" s="1" t="s">
        <v>91</v>
      </c>
      <c r="B871" s="1" t="s">
        <v>63</v>
      </c>
      <c r="C871" s="3">
        <v>89.9</v>
      </c>
    </row>
    <row r="872" spans="1:3" x14ac:dyDescent="0.2">
      <c r="A872" s="1" t="s">
        <v>91</v>
      </c>
      <c r="B872" s="1" t="s">
        <v>14</v>
      </c>
      <c r="C872" s="3">
        <v>7906.38</v>
      </c>
    </row>
    <row r="873" spans="1:3" x14ac:dyDescent="0.2">
      <c r="A873" s="1" t="s">
        <v>91</v>
      </c>
      <c r="B873" s="1" t="s">
        <v>65</v>
      </c>
      <c r="C873" s="3">
        <v>1061.28</v>
      </c>
    </row>
    <row r="874" spans="1:3" x14ac:dyDescent="0.2">
      <c r="A874" s="1" t="s">
        <v>91</v>
      </c>
      <c r="B874" s="1" t="s">
        <v>15</v>
      </c>
      <c r="C874" s="3">
        <v>1067.02</v>
      </c>
    </row>
    <row r="875" spans="1:3" x14ac:dyDescent="0.2">
      <c r="A875" s="1" t="s">
        <v>91</v>
      </c>
      <c r="B875" s="1" t="s">
        <v>66</v>
      </c>
      <c r="C875" s="3">
        <v>49.9</v>
      </c>
    </row>
    <row r="876" spans="1:3" x14ac:dyDescent="0.2">
      <c r="A876" s="1" t="s">
        <v>91</v>
      </c>
      <c r="B876" s="1" t="s">
        <v>67</v>
      </c>
      <c r="C876" s="3">
        <v>265.58</v>
      </c>
    </row>
    <row r="877" spans="1:3" x14ac:dyDescent="0.2">
      <c r="A877" s="1" t="s">
        <v>91</v>
      </c>
      <c r="B877" s="1" t="s">
        <v>38</v>
      </c>
      <c r="C877" s="3">
        <v>279.68</v>
      </c>
    </row>
    <row r="878" spans="1:3" x14ac:dyDescent="0.2">
      <c r="A878" s="1" t="s">
        <v>91</v>
      </c>
      <c r="B878" s="1" t="s">
        <v>39</v>
      </c>
      <c r="C878" s="3">
        <v>1694.2</v>
      </c>
    </row>
    <row r="879" spans="1:3" x14ac:dyDescent="0.2">
      <c r="A879" s="1" t="s">
        <v>91</v>
      </c>
      <c r="B879" s="1" t="s">
        <v>40</v>
      </c>
      <c r="C879" s="3">
        <v>653.48</v>
      </c>
    </row>
    <row r="880" spans="1:3" x14ac:dyDescent="0.2">
      <c r="A880" s="1" t="s">
        <v>91</v>
      </c>
      <c r="B880" s="1" t="s">
        <v>68</v>
      </c>
      <c r="C880" s="3">
        <v>293.27999999999997</v>
      </c>
    </row>
    <row r="881" spans="1:3" x14ac:dyDescent="0.2">
      <c r="A881" s="1" t="s">
        <v>91</v>
      </c>
      <c r="B881" s="1" t="s">
        <v>16</v>
      </c>
      <c r="C881" s="3">
        <v>49484.89</v>
      </c>
    </row>
    <row r="882" spans="1:3" x14ac:dyDescent="0.2">
      <c r="A882" s="1" t="s">
        <v>91</v>
      </c>
      <c r="B882" s="1" t="s">
        <v>17</v>
      </c>
      <c r="C882" s="3">
        <v>2052.5100000000002</v>
      </c>
    </row>
    <row r="883" spans="1:3" x14ac:dyDescent="0.2">
      <c r="A883" s="1" t="s">
        <v>91</v>
      </c>
      <c r="B883" s="1" t="s">
        <v>18</v>
      </c>
      <c r="C883" s="3">
        <v>20681.03</v>
      </c>
    </row>
    <row r="884" spans="1:3" x14ac:dyDescent="0.2">
      <c r="A884" s="1" t="s">
        <v>91</v>
      </c>
      <c r="B884" s="1" t="s">
        <v>19</v>
      </c>
      <c r="C884" s="3">
        <v>54949.36</v>
      </c>
    </row>
    <row r="885" spans="1:3" x14ac:dyDescent="0.2">
      <c r="A885" s="1" t="s">
        <v>91</v>
      </c>
      <c r="B885" s="1" t="s">
        <v>41</v>
      </c>
      <c r="C885" s="3">
        <v>5824.3</v>
      </c>
    </row>
    <row r="886" spans="1:3" x14ac:dyDescent="0.2">
      <c r="A886" s="1" t="s">
        <v>91</v>
      </c>
      <c r="B886" s="1" t="s">
        <v>42</v>
      </c>
      <c r="C886" s="3">
        <v>7359.82</v>
      </c>
    </row>
    <row r="887" spans="1:3" x14ac:dyDescent="0.2">
      <c r="A887" s="1" t="s">
        <v>91</v>
      </c>
      <c r="B887" s="1" t="s">
        <v>69</v>
      </c>
      <c r="C887" s="3">
        <v>12.9</v>
      </c>
    </row>
    <row r="888" spans="1:3" x14ac:dyDescent="0.2">
      <c r="A888" s="1" t="s">
        <v>91</v>
      </c>
      <c r="B888" s="1" t="s">
        <v>43</v>
      </c>
      <c r="C888" s="3">
        <v>1637.1</v>
      </c>
    </row>
    <row r="889" spans="1:3" x14ac:dyDescent="0.2">
      <c r="A889" s="1" t="s">
        <v>91</v>
      </c>
      <c r="B889" s="1" t="s">
        <v>44</v>
      </c>
      <c r="C889" s="3">
        <v>2748.11</v>
      </c>
    </row>
    <row r="890" spans="1:3" x14ac:dyDescent="0.2">
      <c r="A890" s="1" t="s">
        <v>91</v>
      </c>
      <c r="B890" s="1" t="s">
        <v>20</v>
      </c>
      <c r="C890" s="3">
        <v>31221.599999999999</v>
      </c>
    </row>
    <row r="891" spans="1:3" x14ac:dyDescent="0.2">
      <c r="A891" s="1" t="s">
        <v>91</v>
      </c>
      <c r="B891" s="1" t="s">
        <v>45</v>
      </c>
      <c r="C891" s="3">
        <v>1207.8699999999999</v>
      </c>
    </row>
    <row r="892" spans="1:3" x14ac:dyDescent="0.2">
      <c r="A892" s="1" t="s">
        <v>91</v>
      </c>
      <c r="B892" s="1" t="s">
        <v>46</v>
      </c>
      <c r="C892" s="3">
        <v>3439.09</v>
      </c>
    </row>
    <row r="893" spans="1:3" x14ac:dyDescent="0.2">
      <c r="A893" s="1" t="s">
        <v>91</v>
      </c>
      <c r="B893" s="1" t="s">
        <v>21</v>
      </c>
      <c r="C893" s="3">
        <v>6418.05</v>
      </c>
    </row>
    <row r="894" spans="1:3" x14ac:dyDescent="0.2">
      <c r="A894" s="1" t="s">
        <v>91</v>
      </c>
      <c r="B894" s="1" t="s">
        <v>22</v>
      </c>
      <c r="C894" s="3">
        <v>928.94</v>
      </c>
    </row>
    <row r="895" spans="1:3" x14ac:dyDescent="0.2">
      <c r="A895" s="1" t="s">
        <v>91</v>
      </c>
      <c r="B895" s="1" t="s">
        <v>52</v>
      </c>
      <c r="C895" s="3">
        <v>558.6</v>
      </c>
    </row>
    <row r="896" spans="1:3" x14ac:dyDescent="0.2">
      <c r="A896" s="1" t="s">
        <v>91</v>
      </c>
      <c r="B896" s="1" t="s">
        <v>23</v>
      </c>
      <c r="C896" s="3">
        <v>10233.49</v>
      </c>
    </row>
    <row r="897" spans="1:3" x14ac:dyDescent="0.2">
      <c r="A897" s="1" t="s">
        <v>91</v>
      </c>
      <c r="B897" s="1" t="s">
        <v>47</v>
      </c>
      <c r="C897" s="3">
        <v>15717.12</v>
      </c>
    </row>
    <row r="898" spans="1:3" x14ac:dyDescent="0.2">
      <c r="A898" s="1" t="s">
        <v>91</v>
      </c>
      <c r="B898" s="1" t="s">
        <v>76</v>
      </c>
      <c r="C898" s="3">
        <v>317.60000000000002</v>
      </c>
    </row>
    <row r="899" spans="1:3" x14ac:dyDescent="0.2">
      <c r="A899" s="1" t="s">
        <v>91</v>
      </c>
      <c r="B899" s="1" t="s">
        <v>24</v>
      </c>
      <c r="C899" s="3">
        <v>15833.32</v>
      </c>
    </row>
    <row r="900" spans="1:3" x14ac:dyDescent="0.2">
      <c r="A900" s="1" t="s">
        <v>91</v>
      </c>
      <c r="B900" s="1" t="s">
        <v>48</v>
      </c>
      <c r="C900" s="3">
        <v>8456.64</v>
      </c>
    </row>
    <row r="901" spans="1:3" x14ac:dyDescent="0.2">
      <c r="A901" s="1" t="s">
        <v>91</v>
      </c>
      <c r="B901" s="1" t="s">
        <v>70</v>
      </c>
      <c r="C901" s="3">
        <v>271.79000000000002</v>
      </c>
    </row>
    <row r="902" spans="1:3" x14ac:dyDescent="0.2">
      <c r="A902" s="1" t="s">
        <v>91</v>
      </c>
      <c r="B902" s="1" t="s">
        <v>25</v>
      </c>
      <c r="C902" s="3">
        <v>11217.34</v>
      </c>
    </row>
    <row r="903" spans="1:3" x14ac:dyDescent="0.2">
      <c r="A903" s="1" t="s">
        <v>91</v>
      </c>
      <c r="B903" s="1" t="s">
        <v>71</v>
      </c>
      <c r="C903" s="3">
        <v>8590</v>
      </c>
    </row>
    <row r="904" spans="1:3" x14ac:dyDescent="0.2">
      <c r="A904" s="1" t="s">
        <v>91</v>
      </c>
      <c r="B904" s="1" t="s">
        <v>26</v>
      </c>
      <c r="C904" s="3">
        <v>58630.2</v>
      </c>
    </row>
    <row r="905" spans="1:3" x14ac:dyDescent="0.2">
      <c r="A905" s="1" t="s">
        <v>91</v>
      </c>
      <c r="B905" s="1" t="s">
        <v>27</v>
      </c>
      <c r="C905" s="3">
        <v>11231.99</v>
      </c>
    </row>
    <row r="906" spans="1:3" x14ac:dyDescent="0.2">
      <c r="A906" s="1" t="s">
        <v>91</v>
      </c>
      <c r="B906" s="1" t="s">
        <v>53</v>
      </c>
      <c r="C906" s="3">
        <v>250</v>
      </c>
    </row>
    <row r="907" spans="1:3" x14ac:dyDescent="0.2">
      <c r="A907" s="1" t="s">
        <v>91</v>
      </c>
      <c r="B907" s="1" t="s">
        <v>28</v>
      </c>
      <c r="C907" s="3">
        <v>13273.28</v>
      </c>
    </row>
    <row r="908" spans="1:3" x14ac:dyDescent="0.2">
      <c r="A908" s="1" t="s">
        <v>91</v>
      </c>
      <c r="B908" s="1" t="s">
        <v>29</v>
      </c>
      <c r="C908" s="3">
        <v>24200.11</v>
      </c>
    </row>
    <row r="909" spans="1:3" x14ac:dyDescent="0.2">
      <c r="A909" s="1" t="s">
        <v>91</v>
      </c>
      <c r="B909" s="1" t="s">
        <v>30</v>
      </c>
      <c r="C909" s="3">
        <v>59967.040000000001</v>
      </c>
    </row>
    <row r="910" spans="1:3" x14ac:dyDescent="0.2">
      <c r="A910" s="1" t="s">
        <v>92</v>
      </c>
      <c r="B910" s="1" t="s">
        <v>32</v>
      </c>
      <c r="C910" s="3">
        <v>8598.86</v>
      </c>
    </row>
    <row r="911" spans="1:3" x14ac:dyDescent="0.2">
      <c r="A911" s="1" t="s">
        <v>92</v>
      </c>
      <c r="B911" s="1" t="s">
        <v>33</v>
      </c>
      <c r="C911" s="3">
        <v>16446.2</v>
      </c>
    </row>
    <row r="912" spans="1:3" x14ac:dyDescent="0.2">
      <c r="A912" s="1" t="s">
        <v>92</v>
      </c>
      <c r="B912" s="1" t="s">
        <v>50</v>
      </c>
      <c r="C912" s="3">
        <v>2982.9</v>
      </c>
    </row>
    <row r="913" spans="1:3" x14ac:dyDescent="0.2">
      <c r="A913" s="1" t="s">
        <v>92</v>
      </c>
      <c r="B913" s="1" t="s">
        <v>34</v>
      </c>
      <c r="C913" s="3">
        <v>9360.35</v>
      </c>
    </row>
    <row r="914" spans="1:3" x14ac:dyDescent="0.2">
      <c r="A914" s="1" t="s">
        <v>92</v>
      </c>
      <c r="B914" s="1" t="s">
        <v>4</v>
      </c>
      <c r="C914" s="3">
        <v>65838.100000000006</v>
      </c>
    </row>
    <row r="915" spans="1:3" x14ac:dyDescent="0.2">
      <c r="A915" s="1" t="s">
        <v>92</v>
      </c>
      <c r="B915" s="1" t="s">
        <v>5</v>
      </c>
      <c r="C915" s="3">
        <v>42318.52</v>
      </c>
    </row>
    <row r="916" spans="1:3" x14ac:dyDescent="0.2">
      <c r="A916" s="1" t="s">
        <v>92</v>
      </c>
      <c r="B916" s="1" t="s">
        <v>6</v>
      </c>
      <c r="C916" s="3">
        <v>148035.23000000001</v>
      </c>
    </row>
    <row r="917" spans="1:3" x14ac:dyDescent="0.2">
      <c r="A917" s="1" t="s">
        <v>92</v>
      </c>
      <c r="B917" s="1" t="s">
        <v>7</v>
      </c>
      <c r="C917" s="3">
        <v>4249.16</v>
      </c>
    </row>
    <row r="918" spans="1:3" x14ac:dyDescent="0.2">
      <c r="A918" s="1" t="s">
        <v>92</v>
      </c>
      <c r="B918" s="1" t="s">
        <v>56</v>
      </c>
      <c r="C918" s="3">
        <v>490.78</v>
      </c>
    </row>
    <row r="919" spans="1:3" x14ac:dyDescent="0.2">
      <c r="A919" s="1" t="s">
        <v>92</v>
      </c>
      <c r="B919" s="1" t="s">
        <v>57</v>
      </c>
      <c r="C919" s="3">
        <v>1621.68</v>
      </c>
    </row>
    <row r="920" spans="1:3" x14ac:dyDescent="0.2">
      <c r="A920" s="1" t="s">
        <v>92</v>
      </c>
      <c r="B920" s="1" t="s">
        <v>83</v>
      </c>
      <c r="C920" s="3">
        <v>90</v>
      </c>
    </row>
    <row r="921" spans="1:3" x14ac:dyDescent="0.2">
      <c r="A921" s="1" t="s">
        <v>92</v>
      </c>
      <c r="B921" s="1" t="s">
        <v>8</v>
      </c>
      <c r="C921" s="3">
        <v>615.32000000000005</v>
      </c>
    </row>
    <row r="922" spans="1:3" x14ac:dyDescent="0.2">
      <c r="A922" s="1" t="s">
        <v>92</v>
      </c>
      <c r="B922" s="1" t="s">
        <v>58</v>
      </c>
      <c r="C922" s="3">
        <v>528.6</v>
      </c>
    </row>
    <row r="923" spans="1:3" x14ac:dyDescent="0.2">
      <c r="A923" s="1" t="s">
        <v>92</v>
      </c>
      <c r="B923" s="1" t="s">
        <v>9</v>
      </c>
      <c r="C923" s="3">
        <v>23260.45</v>
      </c>
    </row>
    <row r="924" spans="1:3" x14ac:dyDescent="0.2">
      <c r="A924" s="1" t="s">
        <v>92</v>
      </c>
      <c r="B924" s="1" t="s">
        <v>10</v>
      </c>
      <c r="C924" s="3">
        <v>120289.45</v>
      </c>
    </row>
    <row r="925" spans="1:3" x14ac:dyDescent="0.2">
      <c r="A925" s="1" t="s">
        <v>92</v>
      </c>
      <c r="B925" s="1" t="s">
        <v>11</v>
      </c>
      <c r="C925" s="3">
        <v>17361.34</v>
      </c>
    </row>
    <row r="926" spans="1:3" x14ac:dyDescent="0.2">
      <c r="A926" s="1" t="s">
        <v>92</v>
      </c>
      <c r="B926" s="1" t="s">
        <v>35</v>
      </c>
      <c r="C926" s="3">
        <v>21078.25</v>
      </c>
    </row>
    <row r="927" spans="1:3" x14ac:dyDescent="0.2">
      <c r="A927" s="1" t="s">
        <v>92</v>
      </c>
      <c r="B927" s="1" t="s">
        <v>59</v>
      </c>
      <c r="C927" s="3">
        <v>3257.91</v>
      </c>
    </row>
    <row r="928" spans="1:3" x14ac:dyDescent="0.2">
      <c r="A928" s="1" t="s">
        <v>92</v>
      </c>
      <c r="B928" s="1" t="s">
        <v>60</v>
      </c>
      <c r="C928" s="3">
        <v>2736.43</v>
      </c>
    </row>
    <row r="929" spans="1:3" x14ac:dyDescent="0.2">
      <c r="A929" s="1" t="s">
        <v>92</v>
      </c>
      <c r="B929" s="1" t="s">
        <v>12</v>
      </c>
      <c r="C929" s="3">
        <v>83909.95</v>
      </c>
    </row>
    <row r="930" spans="1:3" x14ac:dyDescent="0.2">
      <c r="A930" s="1" t="s">
        <v>92</v>
      </c>
      <c r="B930" s="1" t="s">
        <v>51</v>
      </c>
      <c r="C930" s="3">
        <v>6503.25</v>
      </c>
    </row>
    <row r="931" spans="1:3" x14ac:dyDescent="0.2">
      <c r="A931" s="1" t="s">
        <v>92</v>
      </c>
      <c r="B931" s="1" t="s">
        <v>61</v>
      </c>
      <c r="C931" s="3">
        <v>1072.68</v>
      </c>
    </row>
    <row r="932" spans="1:3" x14ac:dyDescent="0.2">
      <c r="A932" s="1" t="s">
        <v>92</v>
      </c>
      <c r="B932" s="1" t="s">
        <v>62</v>
      </c>
      <c r="C932" s="3">
        <v>194.9</v>
      </c>
    </row>
    <row r="933" spans="1:3" x14ac:dyDescent="0.2">
      <c r="A933" s="1" t="s">
        <v>92</v>
      </c>
      <c r="B933" s="1" t="s">
        <v>36</v>
      </c>
      <c r="C933" s="3">
        <v>5604.82</v>
      </c>
    </row>
    <row r="934" spans="1:3" x14ac:dyDescent="0.2">
      <c r="A934" s="1" t="s">
        <v>92</v>
      </c>
      <c r="B934" s="1" t="s">
        <v>37</v>
      </c>
      <c r="C934" s="3">
        <v>419.06</v>
      </c>
    </row>
    <row r="935" spans="1:3" x14ac:dyDescent="0.2">
      <c r="A935" s="1" t="s">
        <v>92</v>
      </c>
      <c r="B935" s="1" t="s">
        <v>13</v>
      </c>
      <c r="C935" s="3">
        <v>26364.61</v>
      </c>
    </row>
    <row r="936" spans="1:3" x14ac:dyDescent="0.2">
      <c r="A936" s="1" t="s">
        <v>92</v>
      </c>
      <c r="B936" s="1" t="s">
        <v>63</v>
      </c>
      <c r="C936" s="3">
        <v>109.8</v>
      </c>
    </row>
    <row r="937" spans="1:3" x14ac:dyDescent="0.2">
      <c r="A937" s="1" t="s">
        <v>92</v>
      </c>
      <c r="B937" s="1" t="s">
        <v>14</v>
      </c>
      <c r="C937" s="3">
        <v>16288.3</v>
      </c>
    </row>
    <row r="938" spans="1:3" x14ac:dyDescent="0.2">
      <c r="A938" s="1" t="s">
        <v>92</v>
      </c>
      <c r="B938" s="1" t="s">
        <v>64</v>
      </c>
      <c r="C938" s="3">
        <v>110</v>
      </c>
    </row>
    <row r="939" spans="1:3" x14ac:dyDescent="0.2">
      <c r="A939" s="1" t="s">
        <v>92</v>
      </c>
      <c r="B939" s="1" t="s">
        <v>65</v>
      </c>
      <c r="C939" s="3">
        <v>967.37</v>
      </c>
    </row>
    <row r="940" spans="1:3" x14ac:dyDescent="0.2">
      <c r="A940" s="1" t="s">
        <v>92</v>
      </c>
      <c r="B940" s="1" t="s">
        <v>15</v>
      </c>
      <c r="C940" s="3">
        <v>2381.11</v>
      </c>
    </row>
    <row r="941" spans="1:3" x14ac:dyDescent="0.2">
      <c r="A941" s="1" t="s">
        <v>92</v>
      </c>
      <c r="B941" s="1" t="s">
        <v>66</v>
      </c>
      <c r="C941" s="3">
        <v>129.80000000000001</v>
      </c>
    </row>
    <row r="942" spans="1:3" x14ac:dyDescent="0.2">
      <c r="A942" s="1" t="s">
        <v>92</v>
      </c>
      <c r="B942" s="1" t="s">
        <v>67</v>
      </c>
      <c r="C942" s="3">
        <v>1359.47</v>
      </c>
    </row>
    <row r="943" spans="1:3" x14ac:dyDescent="0.2">
      <c r="A943" s="1" t="s">
        <v>92</v>
      </c>
      <c r="B943" s="1" t="s">
        <v>38</v>
      </c>
      <c r="C943" s="3">
        <v>19566.18</v>
      </c>
    </row>
    <row r="944" spans="1:3" x14ac:dyDescent="0.2">
      <c r="A944" s="1" t="s">
        <v>92</v>
      </c>
      <c r="B944" s="1" t="s">
        <v>79</v>
      </c>
      <c r="C944" s="3">
        <v>255.6</v>
      </c>
    </row>
    <row r="945" spans="1:3" x14ac:dyDescent="0.2">
      <c r="A945" s="1" t="s">
        <v>92</v>
      </c>
      <c r="B945" s="1" t="s">
        <v>39</v>
      </c>
      <c r="C945" s="3">
        <v>2808.31</v>
      </c>
    </row>
    <row r="946" spans="1:3" x14ac:dyDescent="0.2">
      <c r="A946" s="1" t="s">
        <v>92</v>
      </c>
      <c r="B946" s="1" t="s">
        <v>40</v>
      </c>
      <c r="C946" s="3">
        <v>2811.4</v>
      </c>
    </row>
    <row r="947" spans="1:3" x14ac:dyDescent="0.2">
      <c r="A947" s="1" t="s">
        <v>92</v>
      </c>
      <c r="B947" s="1" t="s">
        <v>68</v>
      </c>
      <c r="C947" s="3">
        <v>3577.96</v>
      </c>
    </row>
    <row r="948" spans="1:3" x14ac:dyDescent="0.2">
      <c r="A948" s="1" t="s">
        <v>92</v>
      </c>
      <c r="B948" s="1" t="s">
        <v>16</v>
      </c>
      <c r="C948" s="3">
        <v>98427.86</v>
      </c>
    </row>
    <row r="949" spans="1:3" x14ac:dyDescent="0.2">
      <c r="A949" s="1" t="s">
        <v>92</v>
      </c>
      <c r="B949" s="1" t="s">
        <v>17</v>
      </c>
      <c r="C949" s="3">
        <v>16697.34</v>
      </c>
    </row>
    <row r="950" spans="1:3" x14ac:dyDescent="0.2">
      <c r="A950" s="1" t="s">
        <v>92</v>
      </c>
      <c r="B950" s="1" t="s">
        <v>75</v>
      </c>
      <c r="C950" s="3">
        <v>1019.99</v>
      </c>
    </row>
    <row r="951" spans="1:3" x14ac:dyDescent="0.2">
      <c r="A951" s="1" t="s">
        <v>92</v>
      </c>
      <c r="B951" s="1" t="s">
        <v>18</v>
      </c>
      <c r="C951" s="3">
        <v>73505.37</v>
      </c>
    </row>
    <row r="952" spans="1:3" x14ac:dyDescent="0.2">
      <c r="A952" s="1" t="s">
        <v>92</v>
      </c>
      <c r="B952" s="1" t="s">
        <v>19</v>
      </c>
      <c r="C952" s="3">
        <v>145298.62</v>
      </c>
    </row>
    <row r="953" spans="1:3" x14ac:dyDescent="0.2">
      <c r="A953" s="1" t="s">
        <v>92</v>
      </c>
      <c r="B953" s="1" t="s">
        <v>41</v>
      </c>
      <c r="C953" s="3">
        <v>9064.48</v>
      </c>
    </row>
    <row r="954" spans="1:3" x14ac:dyDescent="0.2">
      <c r="A954" s="1" t="s">
        <v>92</v>
      </c>
      <c r="B954" s="1" t="s">
        <v>42</v>
      </c>
      <c r="C954" s="3">
        <v>28822.51</v>
      </c>
    </row>
    <row r="955" spans="1:3" x14ac:dyDescent="0.2">
      <c r="A955" s="1" t="s">
        <v>92</v>
      </c>
      <c r="B955" s="1" t="s">
        <v>69</v>
      </c>
      <c r="C955" s="3">
        <v>51.6</v>
      </c>
    </row>
    <row r="956" spans="1:3" x14ac:dyDescent="0.2">
      <c r="A956" s="1" t="s">
        <v>92</v>
      </c>
      <c r="B956" s="1" t="s">
        <v>43</v>
      </c>
      <c r="C956" s="3">
        <v>7954.87</v>
      </c>
    </row>
    <row r="957" spans="1:3" x14ac:dyDescent="0.2">
      <c r="A957" s="1" t="s">
        <v>92</v>
      </c>
      <c r="B957" s="1" t="s">
        <v>44</v>
      </c>
      <c r="C957" s="3">
        <v>7067.68</v>
      </c>
    </row>
    <row r="958" spans="1:3" x14ac:dyDescent="0.2">
      <c r="A958" s="1" t="s">
        <v>92</v>
      </c>
      <c r="B958" s="1" t="s">
        <v>20</v>
      </c>
      <c r="C958" s="3">
        <v>77675.570000000007</v>
      </c>
    </row>
    <row r="959" spans="1:3" x14ac:dyDescent="0.2">
      <c r="A959" s="1" t="s">
        <v>92</v>
      </c>
      <c r="B959" s="1" t="s">
        <v>45</v>
      </c>
      <c r="C959" s="3">
        <v>3126.6</v>
      </c>
    </row>
    <row r="960" spans="1:3" x14ac:dyDescent="0.2">
      <c r="A960" s="1" t="s">
        <v>92</v>
      </c>
      <c r="B960" s="1" t="s">
        <v>46</v>
      </c>
      <c r="C960" s="3">
        <v>7487.34</v>
      </c>
    </row>
    <row r="961" spans="1:3" x14ac:dyDescent="0.2">
      <c r="A961" s="1" t="s">
        <v>92</v>
      </c>
      <c r="B961" s="1" t="s">
        <v>21</v>
      </c>
      <c r="C961" s="3">
        <v>15062.48</v>
      </c>
    </row>
    <row r="962" spans="1:3" x14ac:dyDescent="0.2">
      <c r="A962" s="1" t="s">
        <v>92</v>
      </c>
      <c r="B962" s="1" t="s">
        <v>22</v>
      </c>
      <c r="C962" s="3">
        <v>2967.74</v>
      </c>
    </row>
    <row r="963" spans="1:3" x14ac:dyDescent="0.2">
      <c r="A963" s="1" t="s">
        <v>92</v>
      </c>
      <c r="B963" s="1" t="s">
        <v>52</v>
      </c>
      <c r="C963" s="3">
        <v>1017.85</v>
      </c>
    </row>
    <row r="964" spans="1:3" x14ac:dyDescent="0.2">
      <c r="A964" s="1" t="s">
        <v>92</v>
      </c>
      <c r="B964" s="1" t="s">
        <v>23</v>
      </c>
      <c r="C964" s="3">
        <v>20527.39</v>
      </c>
    </row>
    <row r="965" spans="1:3" x14ac:dyDescent="0.2">
      <c r="A965" s="1" t="s">
        <v>92</v>
      </c>
      <c r="B965" s="1" t="s">
        <v>47</v>
      </c>
      <c r="C965" s="3">
        <v>46912.19</v>
      </c>
    </row>
    <row r="966" spans="1:3" x14ac:dyDescent="0.2">
      <c r="A966" s="1" t="s">
        <v>92</v>
      </c>
      <c r="B966" s="1" t="s">
        <v>76</v>
      </c>
      <c r="C966" s="3">
        <v>291.5</v>
      </c>
    </row>
    <row r="967" spans="1:3" x14ac:dyDescent="0.2">
      <c r="A967" s="1" t="s">
        <v>92</v>
      </c>
      <c r="B967" s="1" t="s">
        <v>24</v>
      </c>
      <c r="C967" s="3">
        <v>54167.88</v>
      </c>
    </row>
    <row r="968" spans="1:3" x14ac:dyDescent="0.2">
      <c r="A968" s="1" t="s">
        <v>92</v>
      </c>
      <c r="B968" s="1" t="s">
        <v>48</v>
      </c>
      <c r="C968" s="3">
        <v>25752.52</v>
      </c>
    </row>
    <row r="969" spans="1:3" x14ac:dyDescent="0.2">
      <c r="A969" s="1" t="s">
        <v>92</v>
      </c>
      <c r="B969" s="1" t="s">
        <v>70</v>
      </c>
      <c r="C969" s="3">
        <v>2445.54</v>
      </c>
    </row>
    <row r="970" spans="1:3" x14ac:dyDescent="0.2">
      <c r="A970" s="1" t="s">
        <v>92</v>
      </c>
      <c r="B970" s="1" t="s">
        <v>25</v>
      </c>
      <c r="C970" s="3">
        <v>29607.4</v>
      </c>
    </row>
    <row r="971" spans="1:3" x14ac:dyDescent="0.2">
      <c r="A971" s="1" t="s">
        <v>92</v>
      </c>
      <c r="B971" s="1" t="s">
        <v>71</v>
      </c>
      <c r="C971" s="3">
        <v>3911.09</v>
      </c>
    </row>
    <row r="972" spans="1:3" x14ac:dyDescent="0.2">
      <c r="A972" s="1" t="s">
        <v>92</v>
      </c>
      <c r="B972" s="1" t="s">
        <v>26</v>
      </c>
      <c r="C972" s="3">
        <v>125148.04</v>
      </c>
    </row>
    <row r="973" spans="1:3" x14ac:dyDescent="0.2">
      <c r="A973" s="1" t="s">
        <v>92</v>
      </c>
      <c r="B973" s="1" t="s">
        <v>27</v>
      </c>
      <c r="C973" s="3">
        <v>33333.33</v>
      </c>
    </row>
    <row r="974" spans="1:3" x14ac:dyDescent="0.2">
      <c r="A974" s="1" t="s">
        <v>92</v>
      </c>
      <c r="B974" s="1" t="s">
        <v>53</v>
      </c>
      <c r="C974" s="3">
        <v>907.79</v>
      </c>
    </row>
    <row r="975" spans="1:3" x14ac:dyDescent="0.2">
      <c r="A975" s="1" t="s">
        <v>92</v>
      </c>
      <c r="B975" s="1" t="s">
        <v>28</v>
      </c>
      <c r="C975" s="3">
        <v>38434.07</v>
      </c>
    </row>
    <row r="976" spans="1:3" x14ac:dyDescent="0.2">
      <c r="A976" s="1" t="s">
        <v>92</v>
      </c>
      <c r="B976" s="1" t="s">
        <v>29</v>
      </c>
      <c r="C976" s="3">
        <v>74187.789999999994</v>
      </c>
    </row>
    <row r="977" spans="1:3" x14ac:dyDescent="0.2">
      <c r="A977" s="1" t="s">
        <v>92</v>
      </c>
      <c r="B977" s="1" t="s">
        <v>30</v>
      </c>
      <c r="C977" s="3">
        <v>185379.65</v>
      </c>
    </row>
    <row r="978" spans="1:3" x14ac:dyDescent="0.2">
      <c r="A978" s="1" t="s">
        <v>93</v>
      </c>
      <c r="B978" s="1" t="s">
        <v>50</v>
      </c>
      <c r="C978" s="3">
        <v>79.989999999999995</v>
      </c>
    </row>
    <row r="979" spans="1:3" x14ac:dyDescent="0.2">
      <c r="A979" s="1" t="s">
        <v>93</v>
      </c>
      <c r="B979" s="1" t="s">
        <v>34</v>
      </c>
      <c r="C979" s="3">
        <v>189</v>
      </c>
    </row>
    <row r="980" spans="1:3" x14ac:dyDescent="0.2">
      <c r="A980" s="1" t="s">
        <v>93</v>
      </c>
      <c r="B980" s="1" t="s">
        <v>4</v>
      </c>
      <c r="C980" s="3">
        <v>4222.6099999999997</v>
      </c>
    </row>
    <row r="981" spans="1:3" x14ac:dyDescent="0.2">
      <c r="A981" s="1" t="s">
        <v>93</v>
      </c>
      <c r="B981" s="1" t="s">
        <v>5</v>
      </c>
      <c r="C981" s="3">
        <v>2334.39</v>
      </c>
    </row>
    <row r="982" spans="1:3" x14ac:dyDescent="0.2">
      <c r="A982" s="1" t="s">
        <v>93</v>
      </c>
      <c r="B982" s="1" t="s">
        <v>6</v>
      </c>
      <c r="C982" s="3">
        <v>3311.44</v>
      </c>
    </row>
    <row r="983" spans="1:3" x14ac:dyDescent="0.2">
      <c r="A983" s="1" t="s">
        <v>93</v>
      </c>
      <c r="B983" s="1" t="s">
        <v>7</v>
      </c>
      <c r="C983" s="3">
        <v>1432.6</v>
      </c>
    </row>
    <row r="984" spans="1:3" x14ac:dyDescent="0.2">
      <c r="A984" s="1" t="s">
        <v>93</v>
      </c>
      <c r="B984" s="1" t="s">
        <v>57</v>
      </c>
      <c r="C984" s="3">
        <v>65</v>
      </c>
    </row>
    <row r="985" spans="1:3" x14ac:dyDescent="0.2">
      <c r="A985" s="1" t="s">
        <v>93</v>
      </c>
      <c r="B985" s="1" t="s">
        <v>8</v>
      </c>
      <c r="C985" s="3">
        <v>19.829999999999998</v>
      </c>
    </row>
    <row r="986" spans="1:3" x14ac:dyDescent="0.2">
      <c r="A986" s="1" t="s">
        <v>93</v>
      </c>
      <c r="B986" s="1" t="s">
        <v>10</v>
      </c>
      <c r="C986" s="3">
        <v>2801.27</v>
      </c>
    </row>
    <row r="987" spans="1:3" x14ac:dyDescent="0.2">
      <c r="A987" s="1" t="s">
        <v>93</v>
      </c>
      <c r="B987" s="1" t="s">
        <v>11</v>
      </c>
      <c r="C987" s="3">
        <v>1654.96</v>
      </c>
    </row>
    <row r="988" spans="1:3" x14ac:dyDescent="0.2">
      <c r="A988" s="1" t="s">
        <v>93</v>
      </c>
      <c r="B988" s="1" t="s">
        <v>35</v>
      </c>
      <c r="C988" s="3">
        <v>1655.57</v>
      </c>
    </row>
    <row r="989" spans="1:3" x14ac:dyDescent="0.2">
      <c r="A989" s="1" t="s">
        <v>93</v>
      </c>
      <c r="B989" s="1" t="s">
        <v>60</v>
      </c>
      <c r="C989" s="3">
        <v>138.9</v>
      </c>
    </row>
    <row r="990" spans="1:3" x14ac:dyDescent="0.2">
      <c r="A990" s="1" t="s">
        <v>93</v>
      </c>
      <c r="B990" s="1" t="s">
        <v>12</v>
      </c>
      <c r="C990" s="3">
        <v>3800.28</v>
      </c>
    </row>
    <row r="991" spans="1:3" x14ac:dyDescent="0.2">
      <c r="A991" s="1" t="s">
        <v>93</v>
      </c>
      <c r="B991" s="1" t="s">
        <v>51</v>
      </c>
      <c r="C991" s="3">
        <v>163.69999999999999</v>
      </c>
    </row>
    <row r="992" spans="1:3" x14ac:dyDescent="0.2">
      <c r="A992" s="1" t="s">
        <v>93</v>
      </c>
      <c r="B992" s="1" t="s">
        <v>37</v>
      </c>
      <c r="C992" s="3">
        <v>16.899999999999999</v>
      </c>
    </row>
    <row r="993" spans="1:3" x14ac:dyDescent="0.2">
      <c r="A993" s="1" t="s">
        <v>93</v>
      </c>
      <c r="B993" s="1" t="s">
        <v>13</v>
      </c>
      <c r="C993" s="3">
        <v>368.42</v>
      </c>
    </row>
    <row r="994" spans="1:3" x14ac:dyDescent="0.2">
      <c r="A994" s="1" t="s">
        <v>93</v>
      </c>
      <c r="B994" s="1" t="s">
        <v>14</v>
      </c>
      <c r="C994" s="3">
        <v>1455.79</v>
      </c>
    </row>
    <row r="995" spans="1:3" x14ac:dyDescent="0.2">
      <c r="A995" s="1" t="s">
        <v>93</v>
      </c>
      <c r="B995" s="1" t="s">
        <v>15</v>
      </c>
      <c r="C995" s="3">
        <v>399.4</v>
      </c>
    </row>
    <row r="996" spans="1:3" x14ac:dyDescent="0.2">
      <c r="A996" s="1" t="s">
        <v>93</v>
      </c>
      <c r="B996" s="1" t="s">
        <v>39</v>
      </c>
      <c r="C996" s="3">
        <v>69.900000000000006</v>
      </c>
    </row>
    <row r="997" spans="1:3" x14ac:dyDescent="0.2">
      <c r="A997" s="1" t="s">
        <v>93</v>
      </c>
      <c r="B997" s="1" t="s">
        <v>40</v>
      </c>
      <c r="C997" s="3">
        <v>356.05</v>
      </c>
    </row>
    <row r="998" spans="1:3" x14ac:dyDescent="0.2">
      <c r="A998" s="1" t="s">
        <v>93</v>
      </c>
      <c r="B998" s="1" t="s">
        <v>68</v>
      </c>
      <c r="C998" s="3">
        <v>252</v>
      </c>
    </row>
    <row r="999" spans="1:3" x14ac:dyDescent="0.2">
      <c r="A999" s="1" t="s">
        <v>93</v>
      </c>
      <c r="B999" s="1" t="s">
        <v>16</v>
      </c>
      <c r="C999" s="3">
        <v>3241.48</v>
      </c>
    </row>
    <row r="1000" spans="1:3" x14ac:dyDescent="0.2">
      <c r="A1000" s="1" t="s">
        <v>93</v>
      </c>
      <c r="B1000" s="1" t="s">
        <v>75</v>
      </c>
      <c r="C1000" s="3">
        <v>249</v>
      </c>
    </row>
    <row r="1001" spans="1:3" x14ac:dyDescent="0.2">
      <c r="A1001" s="1" t="s">
        <v>93</v>
      </c>
      <c r="B1001" s="1" t="s">
        <v>18</v>
      </c>
      <c r="C1001" s="3">
        <v>2871.31</v>
      </c>
    </row>
    <row r="1002" spans="1:3" x14ac:dyDescent="0.2">
      <c r="A1002" s="1" t="s">
        <v>93</v>
      </c>
      <c r="B1002" s="1" t="s">
        <v>19</v>
      </c>
      <c r="C1002" s="3">
        <v>13886.47</v>
      </c>
    </row>
    <row r="1003" spans="1:3" x14ac:dyDescent="0.2">
      <c r="A1003" s="1" t="s">
        <v>93</v>
      </c>
      <c r="B1003" s="1" t="s">
        <v>41</v>
      </c>
      <c r="C1003" s="3">
        <v>434.25</v>
      </c>
    </row>
    <row r="1004" spans="1:3" x14ac:dyDescent="0.2">
      <c r="A1004" s="1" t="s">
        <v>93</v>
      </c>
      <c r="B1004" s="1" t="s">
        <v>42</v>
      </c>
      <c r="C1004" s="3">
        <v>1439.9</v>
      </c>
    </row>
    <row r="1005" spans="1:3" x14ac:dyDescent="0.2">
      <c r="A1005" s="1" t="s">
        <v>93</v>
      </c>
      <c r="B1005" s="1" t="s">
        <v>43</v>
      </c>
      <c r="C1005" s="3">
        <v>89.9</v>
      </c>
    </row>
    <row r="1006" spans="1:3" x14ac:dyDescent="0.2">
      <c r="A1006" s="1" t="s">
        <v>93</v>
      </c>
      <c r="B1006" s="1" t="s">
        <v>44</v>
      </c>
      <c r="C1006" s="3">
        <v>452.6</v>
      </c>
    </row>
    <row r="1007" spans="1:3" x14ac:dyDescent="0.2">
      <c r="A1007" s="1" t="s">
        <v>93</v>
      </c>
      <c r="B1007" s="1" t="s">
        <v>20</v>
      </c>
      <c r="C1007" s="3">
        <v>1882.55</v>
      </c>
    </row>
    <row r="1008" spans="1:3" x14ac:dyDescent="0.2">
      <c r="A1008" s="1" t="s">
        <v>93</v>
      </c>
      <c r="B1008" s="1" t="s">
        <v>45</v>
      </c>
      <c r="C1008" s="3">
        <v>150</v>
      </c>
    </row>
    <row r="1009" spans="1:3" x14ac:dyDescent="0.2">
      <c r="A1009" s="1" t="s">
        <v>93</v>
      </c>
      <c r="B1009" s="1" t="s">
        <v>46</v>
      </c>
      <c r="C1009" s="3">
        <v>339.9</v>
      </c>
    </row>
    <row r="1010" spans="1:3" x14ac:dyDescent="0.2">
      <c r="A1010" s="1" t="s">
        <v>93</v>
      </c>
      <c r="B1010" s="1" t="s">
        <v>21</v>
      </c>
      <c r="C1010" s="3">
        <v>299.89999999999998</v>
      </c>
    </row>
    <row r="1011" spans="1:3" x14ac:dyDescent="0.2">
      <c r="A1011" s="1" t="s">
        <v>93</v>
      </c>
      <c r="B1011" s="1" t="s">
        <v>22</v>
      </c>
      <c r="C1011" s="3">
        <v>129.80000000000001</v>
      </c>
    </row>
    <row r="1012" spans="1:3" x14ac:dyDescent="0.2">
      <c r="A1012" s="1" t="s">
        <v>93</v>
      </c>
      <c r="B1012" s="1" t="s">
        <v>23</v>
      </c>
      <c r="C1012" s="3">
        <v>409.8</v>
      </c>
    </row>
    <row r="1013" spans="1:3" x14ac:dyDescent="0.2">
      <c r="A1013" s="1" t="s">
        <v>93</v>
      </c>
      <c r="B1013" s="1" t="s">
        <v>47</v>
      </c>
      <c r="C1013" s="3">
        <v>1244.72</v>
      </c>
    </row>
    <row r="1014" spans="1:3" x14ac:dyDescent="0.2">
      <c r="A1014" s="1" t="s">
        <v>93</v>
      </c>
      <c r="B1014" s="1" t="s">
        <v>24</v>
      </c>
      <c r="C1014" s="3">
        <v>2970.59</v>
      </c>
    </row>
    <row r="1015" spans="1:3" x14ac:dyDescent="0.2">
      <c r="A1015" s="1" t="s">
        <v>93</v>
      </c>
      <c r="B1015" s="1" t="s">
        <v>48</v>
      </c>
      <c r="C1015" s="3">
        <v>2301.6799999999998</v>
      </c>
    </row>
    <row r="1016" spans="1:3" x14ac:dyDescent="0.2">
      <c r="A1016" s="1" t="s">
        <v>93</v>
      </c>
      <c r="B1016" s="1" t="s">
        <v>70</v>
      </c>
      <c r="C1016" s="3">
        <v>75</v>
      </c>
    </row>
    <row r="1017" spans="1:3" x14ac:dyDescent="0.2">
      <c r="A1017" s="1" t="s">
        <v>93</v>
      </c>
      <c r="B1017" s="1" t="s">
        <v>25</v>
      </c>
      <c r="C1017" s="3">
        <v>266.98</v>
      </c>
    </row>
    <row r="1018" spans="1:3" x14ac:dyDescent="0.2">
      <c r="A1018" s="1" t="s">
        <v>93</v>
      </c>
      <c r="B1018" s="1" t="s">
        <v>26</v>
      </c>
      <c r="C1018" s="3">
        <v>4101.37</v>
      </c>
    </row>
    <row r="1019" spans="1:3" x14ac:dyDescent="0.2">
      <c r="A1019" s="1" t="s">
        <v>93</v>
      </c>
      <c r="B1019" s="1" t="s">
        <v>27</v>
      </c>
      <c r="C1019" s="3">
        <v>3403.01</v>
      </c>
    </row>
    <row r="1020" spans="1:3" x14ac:dyDescent="0.2">
      <c r="A1020" s="1" t="s">
        <v>93</v>
      </c>
      <c r="B1020" s="1" t="s">
        <v>28</v>
      </c>
      <c r="C1020" s="3">
        <v>5303.29</v>
      </c>
    </row>
    <row r="1021" spans="1:3" x14ac:dyDescent="0.2">
      <c r="A1021" s="1" t="s">
        <v>93</v>
      </c>
      <c r="B1021" s="1" t="s">
        <v>29</v>
      </c>
      <c r="C1021" s="3">
        <v>1964.52</v>
      </c>
    </row>
    <row r="1022" spans="1:3" x14ac:dyDescent="0.2">
      <c r="A1022" s="1" t="s">
        <v>93</v>
      </c>
      <c r="B1022" s="1" t="s">
        <v>30</v>
      </c>
      <c r="C1022" s="3">
        <v>10160.42</v>
      </c>
    </row>
    <row r="1023" spans="1:3" x14ac:dyDescent="0.2">
      <c r="A1023" s="1" t="s">
        <v>94</v>
      </c>
      <c r="B1023" s="1" t="s">
        <v>32</v>
      </c>
      <c r="C1023" s="3">
        <v>88</v>
      </c>
    </row>
    <row r="1024" spans="1:3" x14ac:dyDescent="0.2">
      <c r="A1024" s="1" t="s">
        <v>94</v>
      </c>
      <c r="B1024" s="1" t="s">
        <v>50</v>
      </c>
      <c r="C1024" s="3">
        <v>148.63999999999999</v>
      </c>
    </row>
    <row r="1025" spans="1:3" x14ac:dyDescent="0.2">
      <c r="A1025" s="1" t="s">
        <v>94</v>
      </c>
      <c r="B1025" s="1" t="s">
        <v>4</v>
      </c>
      <c r="C1025" s="3">
        <v>1389.16</v>
      </c>
    </row>
    <row r="1026" spans="1:3" x14ac:dyDescent="0.2">
      <c r="A1026" s="1" t="s">
        <v>94</v>
      </c>
      <c r="B1026" s="1" t="s">
        <v>5</v>
      </c>
      <c r="C1026" s="3">
        <v>2214.39</v>
      </c>
    </row>
    <row r="1027" spans="1:3" x14ac:dyDescent="0.2">
      <c r="A1027" s="1" t="s">
        <v>94</v>
      </c>
      <c r="B1027" s="1" t="s">
        <v>6</v>
      </c>
      <c r="C1027" s="3">
        <v>1732.27</v>
      </c>
    </row>
    <row r="1028" spans="1:3" x14ac:dyDescent="0.2">
      <c r="A1028" s="1" t="s">
        <v>94</v>
      </c>
      <c r="B1028" s="1" t="s">
        <v>7</v>
      </c>
      <c r="C1028" s="3">
        <v>44.99</v>
      </c>
    </row>
    <row r="1029" spans="1:3" x14ac:dyDescent="0.2">
      <c r="A1029" s="1" t="s">
        <v>94</v>
      </c>
      <c r="B1029" s="1" t="s">
        <v>8</v>
      </c>
      <c r="C1029" s="3">
        <v>138.9</v>
      </c>
    </row>
    <row r="1030" spans="1:3" x14ac:dyDescent="0.2">
      <c r="A1030" s="1" t="s">
        <v>94</v>
      </c>
      <c r="B1030" s="1" t="s">
        <v>9</v>
      </c>
      <c r="C1030" s="3">
        <v>2499.9</v>
      </c>
    </row>
    <row r="1031" spans="1:3" x14ac:dyDescent="0.2">
      <c r="A1031" s="1" t="s">
        <v>94</v>
      </c>
      <c r="B1031" s="1" t="s">
        <v>10</v>
      </c>
      <c r="C1031" s="3">
        <v>2081.5700000000002</v>
      </c>
    </row>
    <row r="1032" spans="1:3" x14ac:dyDescent="0.2">
      <c r="A1032" s="1" t="s">
        <v>94</v>
      </c>
      <c r="B1032" s="1" t="s">
        <v>11</v>
      </c>
      <c r="C1032" s="3">
        <v>19.899999999999999</v>
      </c>
    </row>
    <row r="1033" spans="1:3" x14ac:dyDescent="0.2">
      <c r="A1033" s="1" t="s">
        <v>94</v>
      </c>
      <c r="B1033" s="1" t="s">
        <v>35</v>
      </c>
      <c r="C1033" s="3">
        <v>1374.5</v>
      </c>
    </row>
    <row r="1034" spans="1:3" x14ac:dyDescent="0.2">
      <c r="A1034" s="1" t="s">
        <v>94</v>
      </c>
      <c r="B1034" s="1" t="s">
        <v>60</v>
      </c>
      <c r="C1034" s="3">
        <v>339.9</v>
      </c>
    </row>
    <row r="1035" spans="1:3" x14ac:dyDescent="0.2">
      <c r="A1035" s="1" t="s">
        <v>94</v>
      </c>
      <c r="B1035" s="1" t="s">
        <v>12</v>
      </c>
      <c r="C1035" s="3">
        <v>2440.14</v>
      </c>
    </row>
    <row r="1036" spans="1:3" x14ac:dyDescent="0.2">
      <c r="A1036" s="1" t="s">
        <v>94</v>
      </c>
      <c r="B1036" s="1" t="s">
        <v>51</v>
      </c>
      <c r="C1036" s="3">
        <v>100.37</v>
      </c>
    </row>
    <row r="1037" spans="1:3" x14ac:dyDescent="0.2">
      <c r="A1037" s="1" t="s">
        <v>94</v>
      </c>
      <c r="B1037" s="1" t="s">
        <v>37</v>
      </c>
      <c r="C1037" s="3">
        <v>24.9</v>
      </c>
    </row>
    <row r="1038" spans="1:3" x14ac:dyDescent="0.2">
      <c r="A1038" s="1" t="s">
        <v>94</v>
      </c>
      <c r="B1038" s="1" t="s">
        <v>13</v>
      </c>
      <c r="C1038" s="3">
        <v>245.25</v>
      </c>
    </row>
    <row r="1039" spans="1:3" x14ac:dyDescent="0.2">
      <c r="A1039" s="1" t="s">
        <v>94</v>
      </c>
      <c r="B1039" s="1" t="s">
        <v>14</v>
      </c>
      <c r="C1039" s="3">
        <v>632.49</v>
      </c>
    </row>
    <row r="1040" spans="1:3" x14ac:dyDescent="0.2">
      <c r="A1040" s="1" t="s">
        <v>94</v>
      </c>
      <c r="B1040" s="1" t="s">
        <v>15</v>
      </c>
      <c r="C1040" s="3">
        <v>169.79</v>
      </c>
    </row>
    <row r="1041" spans="1:3" x14ac:dyDescent="0.2">
      <c r="A1041" s="1" t="s">
        <v>94</v>
      </c>
      <c r="B1041" s="1" t="s">
        <v>39</v>
      </c>
      <c r="C1041" s="3">
        <v>98.99</v>
      </c>
    </row>
    <row r="1042" spans="1:3" x14ac:dyDescent="0.2">
      <c r="A1042" s="1" t="s">
        <v>94</v>
      </c>
      <c r="B1042" s="1" t="s">
        <v>16</v>
      </c>
      <c r="C1042" s="3">
        <v>1545.18</v>
      </c>
    </row>
    <row r="1043" spans="1:3" x14ac:dyDescent="0.2">
      <c r="A1043" s="1" t="s">
        <v>94</v>
      </c>
      <c r="B1043" s="1" t="s">
        <v>17</v>
      </c>
      <c r="C1043" s="3">
        <v>139.9</v>
      </c>
    </row>
    <row r="1044" spans="1:3" x14ac:dyDescent="0.2">
      <c r="A1044" s="1" t="s">
        <v>94</v>
      </c>
      <c r="B1044" s="1" t="s">
        <v>18</v>
      </c>
      <c r="C1044" s="3">
        <v>555.4</v>
      </c>
    </row>
    <row r="1045" spans="1:3" x14ac:dyDescent="0.2">
      <c r="A1045" s="1" t="s">
        <v>94</v>
      </c>
      <c r="B1045" s="1" t="s">
        <v>19</v>
      </c>
      <c r="C1045" s="3">
        <v>7085.76</v>
      </c>
    </row>
    <row r="1046" spans="1:3" x14ac:dyDescent="0.2">
      <c r="A1046" s="1" t="s">
        <v>94</v>
      </c>
      <c r="B1046" s="1" t="s">
        <v>41</v>
      </c>
      <c r="C1046" s="3">
        <v>261.58</v>
      </c>
    </row>
    <row r="1047" spans="1:3" x14ac:dyDescent="0.2">
      <c r="A1047" s="1" t="s">
        <v>94</v>
      </c>
      <c r="B1047" s="1" t="s">
        <v>43</v>
      </c>
      <c r="C1047" s="3">
        <v>229</v>
      </c>
    </row>
    <row r="1048" spans="1:3" x14ac:dyDescent="0.2">
      <c r="A1048" s="1" t="s">
        <v>94</v>
      </c>
      <c r="B1048" s="1" t="s">
        <v>20</v>
      </c>
      <c r="C1048" s="3">
        <v>525.97</v>
      </c>
    </row>
    <row r="1049" spans="1:3" x14ac:dyDescent="0.2">
      <c r="A1049" s="1" t="s">
        <v>94</v>
      </c>
      <c r="B1049" s="1" t="s">
        <v>45</v>
      </c>
      <c r="C1049" s="3">
        <v>79.900000000000006</v>
      </c>
    </row>
    <row r="1050" spans="1:3" x14ac:dyDescent="0.2">
      <c r="A1050" s="1" t="s">
        <v>94</v>
      </c>
      <c r="B1050" s="1" t="s">
        <v>21</v>
      </c>
      <c r="C1050" s="3">
        <v>1181.5999999999999</v>
      </c>
    </row>
    <row r="1051" spans="1:3" x14ac:dyDescent="0.2">
      <c r="A1051" s="1" t="s">
        <v>94</v>
      </c>
      <c r="B1051" s="1" t="s">
        <v>22</v>
      </c>
      <c r="C1051" s="3">
        <v>149.99</v>
      </c>
    </row>
    <row r="1052" spans="1:3" x14ac:dyDescent="0.2">
      <c r="A1052" s="1" t="s">
        <v>94</v>
      </c>
      <c r="B1052" s="1" t="s">
        <v>23</v>
      </c>
      <c r="C1052" s="3">
        <v>39.9</v>
      </c>
    </row>
    <row r="1053" spans="1:3" x14ac:dyDescent="0.2">
      <c r="A1053" s="1" t="s">
        <v>94</v>
      </c>
      <c r="B1053" s="1" t="s">
        <v>47</v>
      </c>
      <c r="C1053" s="3">
        <v>1087.8599999999999</v>
      </c>
    </row>
    <row r="1054" spans="1:3" x14ac:dyDescent="0.2">
      <c r="A1054" s="1" t="s">
        <v>94</v>
      </c>
      <c r="B1054" s="1" t="s">
        <v>24</v>
      </c>
      <c r="C1054" s="3">
        <v>1291.3</v>
      </c>
    </row>
    <row r="1055" spans="1:3" x14ac:dyDescent="0.2">
      <c r="A1055" s="1" t="s">
        <v>94</v>
      </c>
      <c r="B1055" s="1" t="s">
        <v>48</v>
      </c>
      <c r="C1055" s="3">
        <v>975.53</v>
      </c>
    </row>
    <row r="1056" spans="1:3" x14ac:dyDescent="0.2">
      <c r="A1056" s="1" t="s">
        <v>94</v>
      </c>
      <c r="B1056" s="1" t="s">
        <v>77</v>
      </c>
      <c r="C1056" s="3">
        <v>183.29</v>
      </c>
    </row>
    <row r="1057" spans="1:3" x14ac:dyDescent="0.2">
      <c r="A1057" s="1" t="s">
        <v>94</v>
      </c>
      <c r="B1057" s="1" t="s">
        <v>25</v>
      </c>
      <c r="C1057" s="3">
        <v>99.9</v>
      </c>
    </row>
    <row r="1058" spans="1:3" x14ac:dyDescent="0.2">
      <c r="A1058" s="1" t="s">
        <v>94</v>
      </c>
      <c r="B1058" s="1" t="s">
        <v>71</v>
      </c>
      <c r="C1058" s="3">
        <v>1999</v>
      </c>
    </row>
    <row r="1059" spans="1:3" x14ac:dyDescent="0.2">
      <c r="A1059" s="1" t="s">
        <v>94</v>
      </c>
      <c r="B1059" s="1" t="s">
        <v>26</v>
      </c>
      <c r="C1059" s="3">
        <v>3321.88</v>
      </c>
    </row>
    <row r="1060" spans="1:3" x14ac:dyDescent="0.2">
      <c r="A1060" s="1" t="s">
        <v>94</v>
      </c>
      <c r="B1060" s="1" t="s">
        <v>27</v>
      </c>
      <c r="C1060" s="3">
        <v>723.6</v>
      </c>
    </row>
    <row r="1061" spans="1:3" x14ac:dyDescent="0.2">
      <c r="A1061" s="1" t="s">
        <v>94</v>
      </c>
      <c r="B1061" s="1" t="s">
        <v>28</v>
      </c>
      <c r="C1061" s="3">
        <v>668.07</v>
      </c>
    </row>
    <row r="1062" spans="1:3" x14ac:dyDescent="0.2">
      <c r="A1062" s="1" t="s">
        <v>94</v>
      </c>
      <c r="B1062" s="1" t="s">
        <v>29</v>
      </c>
      <c r="C1062" s="3">
        <v>3079.05</v>
      </c>
    </row>
    <row r="1063" spans="1:3" x14ac:dyDescent="0.2">
      <c r="A1063" s="1" t="s">
        <v>94</v>
      </c>
      <c r="B1063" s="1" t="s">
        <v>30</v>
      </c>
      <c r="C1063" s="3">
        <v>4553.2700000000004</v>
      </c>
    </row>
    <row r="1064" spans="1:3" x14ac:dyDescent="0.2">
      <c r="A1064" s="1" t="s">
        <v>95</v>
      </c>
      <c r="B1064" s="1" t="s">
        <v>4</v>
      </c>
      <c r="C1064" s="3">
        <v>219.9</v>
      </c>
    </row>
    <row r="1065" spans="1:3" x14ac:dyDescent="0.2">
      <c r="A1065" s="1" t="s">
        <v>95</v>
      </c>
      <c r="B1065" s="1" t="s">
        <v>5</v>
      </c>
      <c r="C1065" s="3">
        <v>988.87</v>
      </c>
    </row>
    <row r="1066" spans="1:3" x14ac:dyDescent="0.2">
      <c r="A1066" s="1" t="s">
        <v>95</v>
      </c>
      <c r="B1066" s="1" t="s">
        <v>6</v>
      </c>
      <c r="C1066" s="3">
        <v>609.70000000000005</v>
      </c>
    </row>
    <row r="1067" spans="1:3" x14ac:dyDescent="0.2">
      <c r="A1067" s="1" t="s">
        <v>95</v>
      </c>
      <c r="B1067" s="1" t="s">
        <v>10</v>
      </c>
      <c r="C1067" s="3">
        <v>468.01</v>
      </c>
    </row>
    <row r="1068" spans="1:3" x14ac:dyDescent="0.2">
      <c r="A1068" s="1" t="s">
        <v>95</v>
      </c>
      <c r="B1068" s="1" t="s">
        <v>12</v>
      </c>
      <c r="C1068" s="3">
        <v>129.97999999999999</v>
      </c>
    </row>
    <row r="1069" spans="1:3" x14ac:dyDescent="0.2">
      <c r="A1069" s="1" t="s">
        <v>95</v>
      </c>
      <c r="B1069" s="1" t="s">
        <v>13</v>
      </c>
      <c r="C1069" s="3">
        <v>27.3</v>
      </c>
    </row>
    <row r="1070" spans="1:3" x14ac:dyDescent="0.2">
      <c r="A1070" s="1" t="s">
        <v>95</v>
      </c>
      <c r="B1070" s="1" t="s">
        <v>16</v>
      </c>
      <c r="C1070" s="3">
        <v>590.99</v>
      </c>
    </row>
    <row r="1071" spans="1:3" x14ac:dyDescent="0.2">
      <c r="A1071" s="1" t="s">
        <v>95</v>
      </c>
      <c r="B1071" s="1" t="s">
        <v>18</v>
      </c>
      <c r="C1071" s="3">
        <v>210</v>
      </c>
    </row>
    <row r="1072" spans="1:3" x14ac:dyDescent="0.2">
      <c r="A1072" s="1" t="s">
        <v>95</v>
      </c>
      <c r="B1072" s="1" t="s">
        <v>19</v>
      </c>
      <c r="C1072" s="3">
        <v>1050.6099999999999</v>
      </c>
    </row>
    <row r="1073" spans="1:3" x14ac:dyDescent="0.2">
      <c r="A1073" s="1" t="s">
        <v>95</v>
      </c>
      <c r="B1073" s="1" t="s">
        <v>41</v>
      </c>
      <c r="C1073" s="3">
        <v>954.18</v>
      </c>
    </row>
    <row r="1074" spans="1:3" x14ac:dyDescent="0.2">
      <c r="A1074" s="1" t="s">
        <v>95</v>
      </c>
      <c r="B1074" s="1" t="s">
        <v>47</v>
      </c>
      <c r="C1074" s="3">
        <v>289.89999999999998</v>
      </c>
    </row>
    <row r="1075" spans="1:3" x14ac:dyDescent="0.2">
      <c r="A1075" s="1" t="s">
        <v>95</v>
      </c>
      <c r="B1075" s="1" t="s">
        <v>24</v>
      </c>
      <c r="C1075" s="3">
        <v>244</v>
      </c>
    </row>
    <row r="1076" spans="1:3" x14ac:dyDescent="0.2">
      <c r="A1076" s="1" t="s">
        <v>95</v>
      </c>
      <c r="B1076" s="1" t="s">
        <v>26</v>
      </c>
      <c r="C1076" s="3">
        <v>1350.6</v>
      </c>
    </row>
    <row r="1077" spans="1:3" x14ac:dyDescent="0.2">
      <c r="A1077" s="1" t="s">
        <v>95</v>
      </c>
      <c r="B1077" s="1" t="s">
        <v>27</v>
      </c>
      <c r="C1077" s="3">
        <v>129.97999999999999</v>
      </c>
    </row>
    <row r="1078" spans="1:3" x14ac:dyDescent="0.2">
      <c r="A1078" s="1" t="s">
        <v>95</v>
      </c>
      <c r="B1078" s="1" t="s">
        <v>28</v>
      </c>
      <c r="C1078" s="3">
        <v>100.43</v>
      </c>
    </row>
    <row r="1079" spans="1:3" x14ac:dyDescent="0.2">
      <c r="A1079" s="1" t="s">
        <v>95</v>
      </c>
      <c r="B1079" s="1" t="s">
        <v>30</v>
      </c>
      <c r="C1079" s="3">
        <v>219</v>
      </c>
    </row>
    <row r="1080" spans="1:3" x14ac:dyDescent="0.2">
      <c r="A1080" s="1" t="s">
        <v>96</v>
      </c>
      <c r="B1080" s="1" t="s">
        <v>32</v>
      </c>
      <c r="C1080" s="3">
        <v>3155.93</v>
      </c>
    </row>
    <row r="1081" spans="1:3" x14ac:dyDescent="0.2">
      <c r="A1081" s="1" t="s">
        <v>96</v>
      </c>
      <c r="B1081" s="1" t="s">
        <v>33</v>
      </c>
      <c r="C1081" s="3">
        <v>1702.19</v>
      </c>
    </row>
    <row r="1082" spans="1:3" x14ac:dyDescent="0.2">
      <c r="A1082" s="1" t="s">
        <v>96</v>
      </c>
      <c r="B1082" s="1" t="s">
        <v>50</v>
      </c>
      <c r="C1082" s="3">
        <v>611.44000000000005</v>
      </c>
    </row>
    <row r="1083" spans="1:3" x14ac:dyDescent="0.2">
      <c r="A1083" s="1" t="s">
        <v>96</v>
      </c>
      <c r="B1083" s="1" t="s">
        <v>34</v>
      </c>
      <c r="C1083" s="3">
        <v>2245.1999999999998</v>
      </c>
    </row>
    <row r="1084" spans="1:3" x14ac:dyDescent="0.2">
      <c r="A1084" s="1" t="s">
        <v>96</v>
      </c>
      <c r="B1084" s="1" t="s">
        <v>4</v>
      </c>
      <c r="C1084" s="3">
        <v>26333.119999999999</v>
      </c>
    </row>
    <row r="1085" spans="1:3" x14ac:dyDescent="0.2">
      <c r="A1085" s="1" t="s">
        <v>96</v>
      </c>
      <c r="B1085" s="1" t="s">
        <v>5</v>
      </c>
      <c r="C1085" s="3">
        <v>30458.93</v>
      </c>
    </row>
    <row r="1086" spans="1:3" x14ac:dyDescent="0.2">
      <c r="A1086" s="1" t="s">
        <v>96</v>
      </c>
      <c r="B1086" s="1" t="s">
        <v>6</v>
      </c>
      <c r="C1086" s="3">
        <v>60270.74</v>
      </c>
    </row>
    <row r="1087" spans="1:3" x14ac:dyDescent="0.2">
      <c r="A1087" s="1" t="s">
        <v>96</v>
      </c>
      <c r="B1087" s="1" t="s">
        <v>7</v>
      </c>
      <c r="C1087" s="3">
        <v>2540.85</v>
      </c>
    </row>
    <row r="1088" spans="1:3" x14ac:dyDescent="0.2">
      <c r="A1088" s="1" t="s">
        <v>96</v>
      </c>
      <c r="B1088" s="1" t="s">
        <v>56</v>
      </c>
      <c r="C1088" s="3">
        <v>136.88999999999999</v>
      </c>
    </row>
    <row r="1089" spans="1:3" x14ac:dyDescent="0.2">
      <c r="A1089" s="1" t="s">
        <v>96</v>
      </c>
      <c r="B1089" s="1" t="s">
        <v>57</v>
      </c>
      <c r="C1089" s="3">
        <v>913.56</v>
      </c>
    </row>
    <row r="1090" spans="1:3" x14ac:dyDescent="0.2">
      <c r="A1090" s="1" t="s">
        <v>96</v>
      </c>
      <c r="B1090" s="1" t="s">
        <v>83</v>
      </c>
      <c r="C1090" s="3">
        <v>225</v>
      </c>
    </row>
    <row r="1091" spans="1:3" x14ac:dyDescent="0.2">
      <c r="A1091" s="1" t="s">
        <v>96</v>
      </c>
      <c r="B1091" s="1" t="s">
        <v>8</v>
      </c>
      <c r="C1091" s="3">
        <v>484.9</v>
      </c>
    </row>
    <row r="1092" spans="1:3" x14ac:dyDescent="0.2">
      <c r="A1092" s="1" t="s">
        <v>96</v>
      </c>
      <c r="B1092" s="1" t="s">
        <v>58</v>
      </c>
      <c r="C1092" s="3">
        <v>821.58</v>
      </c>
    </row>
    <row r="1093" spans="1:3" x14ac:dyDescent="0.2">
      <c r="A1093" s="1" t="s">
        <v>96</v>
      </c>
      <c r="B1093" s="1" t="s">
        <v>9</v>
      </c>
      <c r="C1093" s="3">
        <v>8546.89</v>
      </c>
    </row>
    <row r="1094" spans="1:3" x14ac:dyDescent="0.2">
      <c r="A1094" s="1" t="s">
        <v>96</v>
      </c>
      <c r="B1094" s="1" t="s">
        <v>10</v>
      </c>
      <c r="C1094" s="3">
        <v>52757.73</v>
      </c>
    </row>
    <row r="1095" spans="1:3" x14ac:dyDescent="0.2">
      <c r="A1095" s="1" t="s">
        <v>96</v>
      </c>
      <c r="B1095" s="1" t="s">
        <v>11</v>
      </c>
      <c r="C1095" s="3">
        <v>8700.5400000000009</v>
      </c>
    </row>
    <row r="1096" spans="1:3" x14ac:dyDescent="0.2">
      <c r="A1096" s="1" t="s">
        <v>96</v>
      </c>
      <c r="B1096" s="1" t="s">
        <v>35</v>
      </c>
      <c r="C1096" s="3">
        <v>5578.65</v>
      </c>
    </row>
    <row r="1097" spans="1:3" x14ac:dyDescent="0.2">
      <c r="A1097" s="1" t="s">
        <v>96</v>
      </c>
      <c r="B1097" s="1" t="s">
        <v>59</v>
      </c>
      <c r="C1097" s="3">
        <v>2252.5300000000002</v>
      </c>
    </row>
    <row r="1098" spans="1:3" x14ac:dyDescent="0.2">
      <c r="A1098" s="1" t="s">
        <v>96</v>
      </c>
      <c r="B1098" s="1" t="s">
        <v>60</v>
      </c>
      <c r="C1098" s="3">
        <v>1176.31</v>
      </c>
    </row>
    <row r="1099" spans="1:3" x14ac:dyDescent="0.2">
      <c r="A1099" s="1" t="s">
        <v>96</v>
      </c>
      <c r="B1099" s="1" t="s">
        <v>12</v>
      </c>
      <c r="C1099" s="3">
        <v>46676.34</v>
      </c>
    </row>
    <row r="1100" spans="1:3" x14ac:dyDescent="0.2">
      <c r="A1100" s="1" t="s">
        <v>96</v>
      </c>
      <c r="B1100" s="1" t="s">
        <v>51</v>
      </c>
      <c r="C1100" s="3">
        <v>1012.98</v>
      </c>
    </row>
    <row r="1101" spans="1:3" x14ac:dyDescent="0.2">
      <c r="A1101" s="1" t="s">
        <v>96</v>
      </c>
      <c r="B1101" s="1" t="s">
        <v>61</v>
      </c>
      <c r="C1101" s="3">
        <v>1113.4000000000001</v>
      </c>
    </row>
    <row r="1102" spans="1:3" x14ac:dyDescent="0.2">
      <c r="A1102" s="1" t="s">
        <v>96</v>
      </c>
      <c r="B1102" s="1" t="s">
        <v>36</v>
      </c>
      <c r="C1102" s="3">
        <v>1073.44</v>
      </c>
    </row>
    <row r="1103" spans="1:3" x14ac:dyDescent="0.2">
      <c r="A1103" s="1" t="s">
        <v>96</v>
      </c>
      <c r="B1103" s="1" t="s">
        <v>37</v>
      </c>
      <c r="C1103" s="3">
        <v>153.6</v>
      </c>
    </row>
    <row r="1104" spans="1:3" x14ac:dyDescent="0.2">
      <c r="A1104" s="1" t="s">
        <v>96</v>
      </c>
      <c r="B1104" s="1" t="s">
        <v>13</v>
      </c>
      <c r="C1104" s="3">
        <v>8378.81</v>
      </c>
    </row>
    <row r="1105" spans="1:3" x14ac:dyDescent="0.2">
      <c r="A1105" s="1" t="s">
        <v>96</v>
      </c>
      <c r="B1105" s="1" t="s">
        <v>14</v>
      </c>
      <c r="C1105" s="3">
        <v>8172.47</v>
      </c>
    </row>
    <row r="1106" spans="1:3" x14ac:dyDescent="0.2">
      <c r="A1106" s="1" t="s">
        <v>96</v>
      </c>
      <c r="B1106" s="1" t="s">
        <v>65</v>
      </c>
      <c r="C1106" s="3">
        <v>638.79</v>
      </c>
    </row>
    <row r="1107" spans="1:3" x14ac:dyDescent="0.2">
      <c r="A1107" s="1" t="s">
        <v>96</v>
      </c>
      <c r="B1107" s="1" t="s">
        <v>15</v>
      </c>
      <c r="C1107" s="3">
        <v>742.8</v>
      </c>
    </row>
    <row r="1108" spans="1:3" x14ac:dyDescent="0.2">
      <c r="A1108" s="1" t="s">
        <v>96</v>
      </c>
      <c r="B1108" s="1" t="s">
        <v>66</v>
      </c>
      <c r="C1108" s="3">
        <v>49.98</v>
      </c>
    </row>
    <row r="1109" spans="1:3" x14ac:dyDescent="0.2">
      <c r="A1109" s="1" t="s">
        <v>96</v>
      </c>
      <c r="B1109" s="1" t="s">
        <v>67</v>
      </c>
      <c r="C1109" s="3">
        <v>397.8</v>
      </c>
    </row>
    <row r="1110" spans="1:3" x14ac:dyDescent="0.2">
      <c r="A1110" s="1" t="s">
        <v>96</v>
      </c>
      <c r="B1110" s="1" t="s">
        <v>38</v>
      </c>
      <c r="C1110" s="3">
        <v>2402.7600000000002</v>
      </c>
    </row>
    <row r="1111" spans="1:3" x14ac:dyDescent="0.2">
      <c r="A1111" s="1" t="s">
        <v>96</v>
      </c>
      <c r="B1111" s="1" t="s">
        <v>79</v>
      </c>
      <c r="C1111" s="3">
        <v>75.599999999999994</v>
      </c>
    </row>
    <row r="1112" spans="1:3" x14ac:dyDescent="0.2">
      <c r="A1112" s="1" t="s">
        <v>96</v>
      </c>
      <c r="B1112" s="1" t="s">
        <v>39</v>
      </c>
      <c r="C1112" s="3">
        <v>727.82</v>
      </c>
    </row>
    <row r="1113" spans="1:3" x14ac:dyDescent="0.2">
      <c r="A1113" s="1" t="s">
        <v>96</v>
      </c>
      <c r="B1113" s="1" t="s">
        <v>40</v>
      </c>
      <c r="C1113" s="3">
        <v>249</v>
      </c>
    </row>
    <row r="1114" spans="1:3" x14ac:dyDescent="0.2">
      <c r="A1114" s="1" t="s">
        <v>96</v>
      </c>
      <c r="B1114" s="1" t="s">
        <v>68</v>
      </c>
      <c r="C1114" s="3">
        <v>435</v>
      </c>
    </row>
    <row r="1115" spans="1:3" x14ac:dyDescent="0.2">
      <c r="A1115" s="1" t="s">
        <v>96</v>
      </c>
      <c r="B1115" s="1" t="s">
        <v>16</v>
      </c>
      <c r="C1115" s="3">
        <v>54813.58</v>
      </c>
    </row>
    <row r="1116" spans="1:3" x14ac:dyDescent="0.2">
      <c r="A1116" s="1" t="s">
        <v>96</v>
      </c>
      <c r="B1116" s="1" t="s">
        <v>17</v>
      </c>
      <c r="C1116" s="3">
        <v>3582.95</v>
      </c>
    </row>
    <row r="1117" spans="1:3" x14ac:dyDescent="0.2">
      <c r="A1117" s="1" t="s">
        <v>96</v>
      </c>
      <c r="B1117" s="1" t="s">
        <v>18</v>
      </c>
      <c r="C1117" s="3">
        <v>36678.699999999997</v>
      </c>
    </row>
    <row r="1118" spans="1:3" x14ac:dyDescent="0.2">
      <c r="A1118" s="1" t="s">
        <v>96</v>
      </c>
      <c r="B1118" s="1" t="s">
        <v>19</v>
      </c>
      <c r="C1118" s="3">
        <v>51327.72</v>
      </c>
    </row>
    <row r="1119" spans="1:3" x14ac:dyDescent="0.2">
      <c r="A1119" s="1" t="s">
        <v>96</v>
      </c>
      <c r="B1119" s="1" t="s">
        <v>41</v>
      </c>
      <c r="C1119" s="3">
        <v>6141.38</v>
      </c>
    </row>
    <row r="1120" spans="1:3" x14ac:dyDescent="0.2">
      <c r="A1120" s="1" t="s">
        <v>96</v>
      </c>
      <c r="B1120" s="1" t="s">
        <v>42</v>
      </c>
      <c r="C1120" s="3">
        <v>10800.18</v>
      </c>
    </row>
    <row r="1121" spans="1:3" x14ac:dyDescent="0.2">
      <c r="A1121" s="1" t="s">
        <v>96</v>
      </c>
      <c r="B1121" s="1" t="s">
        <v>69</v>
      </c>
      <c r="C1121" s="3">
        <v>109.99</v>
      </c>
    </row>
    <row r="1122" spans="1:3" x14ac:dyDescent="0.2">
      <c r="A1122" s="1" t="s">
        <v>96</v>
      </c>
      <c r="B1122" s="1" t="s">
        <v>43</v>
      </c>
      <c r="C1122" s="3">
        <v>2991.89</v>
      </c>
    </row>
    <row r="1123" spans="1:3" x14ac:dyDescent="0.2">
      <c r="A1123" s="1" t="s">
        <v>96</v>
      </c>
      <c r="B1123" s="1" t="s">
        <v>44</v>
      </c>
      <c r="C1123" s="3">
        <v>7497.72</v>
      </c>
    </row>
    <row r="1124" spans="1:3" x14ac:dyDescent="0.2">
      <c r="A1124" s="1" t="s">
        <v>96</v>
      </c>
      <c r="B1124" s="1" t="s">
        <v>20</v>
      </c>
      <c r="C1124" s="3">
        <v>38994.629999999997</v>
      </c>
    </row>
    <row r="1125" spans="1:3" x14ac:dyDescent="0.2">
      <c r="A1125" s="1" t="s">
        <v>96</v>
      </c>
      <c r="B1125" s="1" t="s">
        <v>45</v>
      </c>
      <c r="C1125" s="3">
        <v>3147.49</v>
      </c>
    </row>
    <row r="1126" spans="1:3" x14ac:dyDescent="0.2">
      <c r="A1126" s="1" t="s">
        <v>96</v>
      </c>
      <c r="B1126" s="1" t="s">
        <v>46</v>
      </c>
      <c r="C1126" s="3">
        <v>1969.6</v>
      </c>
    </row>
    <row r="1127" spans="1:3" x14ac:dyDescent="0.2">
      <c r="A1127" s="1" t="s">
        <v>96</v>
      </c>
      <c r="B1127" s="1" t="s">
        <v>81</v>
      </c>
      <c r="C1127" s="3">
        <v>428.99</v>
      </c>
    </row>
    <row r="1128" spans="1:3" x14ac:dyDescent="0.2">
      <c r="A1128" s="1" t="s">
        <v>96</v>
      </c>
      <c r="B1128" s="1" t="s">
        <v>21</v>
      </c>
      <c r="C1128" s="3">
        <v>6959.95</v>
      </c>
    </row>
    <row r="1129" spans="1:3" x14ac:dyDescent="0.2">
      <c r="A1129" s="1" t="s">
        <v>96</v>
      </c>
      <c r="B1129" s="1" t="s">
        <v>22</v>
      </c>
      <c r="C1129" s="3">
        <v>1978.53</v>
      </c>
    </row>
    <row r="1130" spans="1:3" x14ac:dyDescent="0.2">
      <c r="A1130" s="1" t="s">
        <v>96</v>
      </c>
      <c r="B1130" s="1" t="s">
        <v>52</v>
      </c>
      <c r="C1130" s="3">
        <v>299</v>
      </c>
    </row>
    <row r="1131" spans="1:3" x14ac:dyDescent="0.2">
      <c r="A1131" s="1" t="s">
        <v>96</v>
      </c>
      <c r="B1131" s="1" t="s">
        <v>23</v>
      </c>
      <c r="C1131" s="3">
        <v>9106.6</v>
      </c>
    </row>
    <row r="1132" spans="1:3" x14ac:dyDescent="0.2">
      <c r="A1132" s="1" t="s">
        <v>96</v>
      </c>
      <c r="B1132" s="1" t="s">
        <v>47</v>
      </c>
      <c r="C1132" s="3">
        <v>10512.58</v>
      </c>
    </row>
    <row r="1133" spans="1:3" x14ac:dyDescent="0.2">
      <c r="A1133" s="1" t="s">
        <v>96</v>
      </c>
      <c r="B1133" s="1" t="s">
        <v>76</v>
      </c>
      <c r="C1133" s="3">
        <v>359.6</v>
      </c>
    </row>
    <row r="1134" spans="1:3" x14ac:dyDescent="0.2">
      <c r="A1134" s="1" t="s">
        <v>96</v>
      </c>
      <c r="B1134" s="1" t="s">
        <v>24</v>
      </c>
      <c r="C1134" s="3">
        <v>20554.25</v>
      </c>
    </row>
    <row r="1135" spans="1:3" x14ac:dyDescent="0.2">
      <c r="A1135" s="1" t="s">
        <v>96</v>
      </c>
      <c r="B1135" s="1" t="s">
        <v>48</v>
      </c>
      <c r="C1135" s="3">
        <v>11045.61</v>
      </c>
    </row>
    <row r="1136" spans="1:3" x14ac:dyDescent="0.2">
      <c r="A1136" s="1" t="s">
        <v>96</v>
      </c>
      <c r="B1136" s="1" t="s">
        <v>70</v>
      </c>
      <c r="C1136" s="3">
        <v>1392.45</v>
      </c>
    </row>
    <row r="1137" spans="1:3" x14ac:dyDescent="0.2">
      <c r="A1137" s="1" t="s">
        <v>96</v>
      </c>
      <c r="B1137" s="1" t="s">
        <v>25</v>
      </c>
      <c r="C1137" s="3">
        <v>15317.7</v>
      </c>
    </row>
    <row r="1138" spans="1:3" x14ac:dyDescent="0.2">
      <c r="A1138" s="1" t="s">
        <v>96</v>
      </c>
      <c r="B1138" s="1" t="s">
        <v>71</v>
      </c>
      <c r="C1138" s="3">
        <v>494.9</v>
      </c>
    </row>
    <row r="1139" spans="1:3" x14ac:dyDescent="0.2">
      <c r="A1139" s="1" t="s">
        <v>96</v>
      </c>
      <c r="B1139" s="1" t="s">
        <v>26</v>
      </c>
      <c r="C1139" s="3">
        <v>53788.32</v>
      </c>
    </row>
    <row r="1140" spans="1:3" x14ac:dyDescent="0.2">
      <c r="A1140" s="1" t="s">
        <v>96</v>
      </c>
      <c r="B1140" s="1" t="s">
        <v>27</v>
      </c>
      <c r="C1140" s="3">
        <v>12769.01</v>
      </c>
    </row>
    <row r="1141" spans="1:3" x14ac:dyDescent="0.2">
      <c r="A1141" s="1" t="s">
        <v>96</v>
      </c>
      <c r="B1141" s="1" t="s">
        <v>53</v>
      </c>
      <c r="C1141" s="3">
        <v>99</v>
      </c>
    </row>
    <row r="1142" spans="1:3" x14ac:dyDescent="0.2">
      <c r="A1142" s="1" t="s">
        <v>96</v>
      </c>
      <c r="B1142" s="1" t="s">
        <v>28</v>
      </c>
      <c r="C1142" s="3">
        <v>19159.68</v>
      </c>
    </row>
    <row r="1143" spans="1:3" x14ac:dyDescent="0.2">
      <c r="A1143" s="1" t="s">
        <v>96</v>
      </c>
      <c r="B1143" s="1" t="s">
        <v>29</v>
      </c>
      <c r="C1143" s="3">
        <v>29037.52</v>
      </c>
    </row>
    <row r="1144" spans="1:3" x14ac:dyDescent="0.2">
      <c r="A1144" s="1" t="s">
        <v>96</v>
      </c>
      <c r="B1144" s="1" t="s">
        <v>30</v>
      </c>
      <c r="C1144" s="3">
        <v>48152.53</v>
      </c>
    </row>
    <row r="1145" spans="1:3" x14ac:dyDescent="0.2">
      <c r="A1145" s="1" t="s">
        <v>97</v>
      </c>
      <c r="B1145" s="1" t="s">
        <v>32</v>
      </c>
      <c r="C1145" s="3">
        <v>1069.98</v>
      </c>
    </row>
    <row r="1146" spans="1:3" x14ac:dyDescent="0.2">
      <c r="A1146" s="1" t="s">
        <v>97</v>
      </c>
      <c r="B1146" s="1" t="s">
        <v>33</v>
      </c>
      <c r="C1146" s="3">
        <v>599.6</v>
      </c>
    </row>
    <row r="1147" spans="1:3" x14ac:dyDescent="0.2">
      <c r="A1147" s="1" t="s">
        <v>97</v>
      </c>
      <c r="B1147" s="1" t="s">
        <v>50</v>
      </c>
      <c r="C1147" s="3">
        <v>422.19</v>
      </c>
    </row>
    <row r="1148" spans="1:3" x14ac:dyDescent="0.2">
      <c r="A1148" s="1" t="s">
        <v>97</v>
      </c>
      <c r="B1148" s="1" t="s">
        <v>74</v>
      </c>
      <c r="C1148" s="3">
        <v>289.49</v>
      </c>
    </row>
    <row r="1149" spans="1:3" x14ac:dyDescent="0.2">
      <c r="A1149" s="1" t="s">
        <v>97</v>
      </c>
      <c r="B1149" s="1" t="s">
        <v>34</v>
      </c>
      <c r="C1149" s="3">
        <v>1592.57</v>
      </c>
    </row>
    <row r="1150" spans="1:3" x14ac:dyDescent="0.2">
      <c r="A1150" s="1" t="s">
        <v>97</v>
      </c>
      <c r="B1150" s="1" t="s">
        <v>4</v>
      </c>
      <c r="C1150" s="3">
        <v>27531.279999999999</v>
      </c>
    </row>
    <row r="1151" spans="1:3" x14ac:dyDescent="0.2">
      <c r="A1151" s="1" t="s">
        <v>97</v>
      </c>
      <c r="B1151" s="1" t="s">
        <v>5</v>
      </c>
      <c r="C1151" s="3">
        <v>16878.47</v>
      </c>
    </row>
    <row r="1152" spans="1:3" x14ac:dyDescent="0.2">
      <c r="A1152" s="1" t="s">
        <v>97</v>
      </c>
      <c r="B1152" s="1" t="s">
        <v>6</v>
      </c>
      <c r="C1152" s="3">
        <v>31148.52</v>
      </c>
    </row>
    <row r="1153" spans="1:3" x14ac:dyDescent="0.2">
      <c r="A1153" s="1" t="s">
        <v>97</v>
      </c>
      <c r="B1153" s="1" t="s">
        <v>7</v>
      </c>
      <c r="C1153" s="3">
        <v>1890.22</v>
      </c>
    </row>
    <row r="1154" spans="1:3" x14ac:dyDescent="0.2">
      <c r="A1154" s="1" t="s">
        <v>97</v>
      </c>
      <c r="B1154" s="1" t="s">
        <v>56</v>
      </c>
      <c r="C1154" s="3">
        <v>24.95</v>
      </c>
    </row>
    <row r="1155" spans="1:3" x14ac:dyDescent="0.2">
      <c r="A1155" s="1" t="s">
        <v>97</v>
      </c>
      <c r="B1155" s="1" t="s">
        <v>57</v>
      </c>
      <c r="C1155" s="3">
        <v>975.23</v>
      </c>
    </row>
    <row r="1156" spans="1:3" x14ac:dyDescent="0.2">
      <c r="A1156" s="1" t="s">
        <v>97</v>
      </c>
      <c r="B1156" s="1" t="s">
        <v>8</v>
      </c>
      <c r="C1156" s="3">
        <v>898.12</v>
      </c>
    </row>
    <row r="1157" spans="1:3" x14ac:dyDescent="0.2">
      <c r="A1157" s="1" t="s">
        <v>97</v>
      </c>
      <c r="B1157" s="1" t="s">
        <v>58</v>
      </c>
      <c r="C1157" s="3">
        <v>1106.8900000000001</v>
      </c>
    </row>
    <row r="1158" spans="1:3" x14ac:dyDescent="0.2">
      <c r="A1158" s="1" t="s">
        <v>97</v>
      </c>
      <c r="B1158" s="1" t="s">
        <v>9</v>
      </c>
      <c r="C1158" s="3">
        <v>6069.98</v>
      </c>
    </row>
    <row r="1159" spans="1:3" x14ac:dyDescent="0.2">
      <c r="A1159" s="1" t="s">
        <v>97</v>
      </c>
      <c r="B1159" s="1" t="s">
        <v>10</v>
      </c>
      <c r="C1159" s="3">
        <v>37757.129999999997</v>
      </c>
    </row>
    <row r="1160" spans="1:3" x14ac:dyDescent="0.2">
      <c r="A1160" s="1" t="s">
        <v>97</v>
      </c>
      <c r="B1160" s="1" t="s">
        <v>11</v>
      </c>
      <c r="C1160" s="3">
        <v>4387.53</v>
      </c>
    </row>
    <row r="1161" spans="1:3" x14ac:dyDescent="0.2">
      <c r="A1161" s="1" t="s">
        <v>97</v>
      </c>
      <c r="B1161" s="1" t="s">
        <v>35</v>
      </c>
      <c r="C1161" s="3">
        <v>4976.8</v>
      </c>
    </row>
    <row r="1162" spans="1:3" x14ac:dyDescent="0.2">
      <c r="A1162" s="1" t="s">
        <v>97</v>
      </c>
      <c r="B1162" s="1" t="s">
        <v>59</v>
      </c>
      <c r="C1162" s="3">
        <v>1499.16</v>
      </c>
    </row>
    <row r="1163" spans="1:3" x14ac:dyDescent="0.2">
      <c r="A1163" s="1" t="s">
        <v>97</v>
      </c>
      <c r="B1163" s="1" t="s">
        <v>60</v>
      </c>
      <c r="C1163" s="3">
        <v>2850.64</v>
      </c>
    </row>
    <row r="1164" spans="1:3" x14ac:dyDescent="0.2">
      <c r="A1164" s="1" t="s">
        <v>97</v>
      </c>
      <c r="B1164" s="1" t="s">
        <v>12</v>
      </c>
      <c r="C1164" s="3">
        <v>28498.799999999999</v>
      </c>
    </row>
    <row r="1165" spans="1:3" x14ac:dyDescent="0.2">
      <c r="A1165" s="1" t="s">
        <v>97</v>
      </c>
      <c r="B1165" s="1" t="s">
        <v>51</v>
      </c>
      <c r="C1165" s="3">
        <v>234.2</v>
      </c>
    </row>
    <row r="1166" spans="1:3" x14ac:dyDescent="0.2">
      <c r="A1166" s="1" t="s">
        <v>97</v>
      </c>
      <c r="B1166" s="1" t="s">
        <v>61</v>
      </c>
      <c r="C1166" s="3">
        <v>495.6</v>
      </c>
    </row>
    <row r="1167" spans="1:3" x14ac:dyDescent="0.2">
      <c r="A1167" s="1" t="s">
        <v>97</v>
      </c>
      <c r="B1167" s="1" t="s">
        <v>36</v>
      </c>
      <c r="C1167" s="3">
        <v>891.91</v>
      </c>
    </row>
    <row r="1168" spans="1:3" x14ac:dyDescent="0.2">
      <c r="A1168" s="1" t="s">
        <v>97</v>
      </c>
      <c r="B1168" s="1" t="s">
        <v>37</v>
      </c>
      <c r="C1168" s="3">
        <v>44.8</v>
      </c>
    </row>
    <row r="1169" spans="1:3" x14ac:dyDescent="0.2">
      <c r="A1169" s="1" t="s">
        <v>97</v>
      </c>
      <c r="B1169" s="1" t="s">
        <v>13</v>
      </c>
      <c r="C1169" s="3">
        <v>8322.86</v>
      </c>
    </row>
    <row r="1170" spans="1:3" x14ac:dyDescent="0.2">
      <c r="A1170" s="1" t="s">
        <v>97</v>
      </c>
      <c r="B1170" s="1" t="s">
        <v>63</v>
      </c>
      <c r="C1170" s="3">
        <v>19.899999999999999</v>
      </c>
    </row>
    <row r="1171" spans="1:3" x14ac:dyDescent="0.2">
      <c r="A1171" s="1" t="s">
        <v>97</v>
      </c>
      <c r="B1171" s="1" t="s">
        <v>14</v>
      </c>
      <c r="C1171" s="3">
        <v>6235.96</v>
      </c>
    </row>
    <row r="1172" spans="1:3" x14ac:dyDescent="0.2">
      <c r="A1172" s="1" t="s">
        <v>97</v>
      </c>
      <c r="B1172" s="1" t="s">
        <v>64</v>
      </c>
      <c r="C1172" s="3">
        <v>89.89</v>
      </c>
    </row>
    <row r="1173" spans="1:3" x14ac:dyDescent="0.2">
      <c r="A1173" s="1" t="s">
        <v>97</v>
      </c>
      <c r="B1173" s="1" t="s">
        <v>65</v>
      </c>
      <c r="C1173" s="3">
        <v>89.89</v>
      </c>
    </row>
    <row r="1174" spans="1:3" x14ac:dyDescent="0.2">
      <c r="A1174" s="1" t="s">
        <v>97</v>
      </c>
      <c r="B1174" s="1" t="s">
        <v>15</v>
      </c>
      <c r="C1174" s="3">
        <v>750.1</v>
      </c>
    </row>
    <row r="1175" spans="1:3" x14ac:dyDescent="0.2">
      <c r="A1175" s="1" t="s">
        <v>97</v>
      </c>
      <c r="B1175" s="1" t="s">
        <v>66</v>
      </c>
      <c r="C1175" s="3">
        <v>169.75</v>
      </c>
    </row>
    <row r="1176" spans="1:3" x14ac:dyDescent="0.2">
      <c r="A1176" s="1" t="s">
        <v>97</v>
      </c>
      <c r="B1176" s="1" t="s">
        <v>67</v>
      </c>
      <c r="C1176" s="3">
        <v>367.2</v>
      </c>
    </row>
    <row r="1177" spans="1:3" x14ac:dyDescent="0.2">
      <c r="A1177" s="1" t="s">
        <v>97</v>
      </c>
      <c r="B1177" s="1" t="s">
        <v>38</v>
      </c>
      <c r="C1177" s="3">
        <v>1916.88</v>
      </c>
    </row>
    <row r="1178" spans="1:3" x14ac:dyDescent="0.2">
      <c r="A1178" s="1" t="s">
        <v>97</v>
      </c>
      <c r="B1178" s="1" t="s">
        <v>39</v>
      </c>
      <c r="C1178" s="3">
        <v>747.44</v>
      </c>
    </row>
    <row r="1179" spans="1:3" x14ac:dyDescent="0.2">
      <c r="A1179" s="1" t="s">
        <v>97</v>
      </c>
      <c r="B1179" s="1" t="s">
        <v>40</v>
      </c>
      <c r="C1179" s="3">
        <v>90.7</v>
      </c>
    </row>
    <row r="1180" spans="1:3" x14ac:dyDescent="0.2">
      <c r="A1180" s="1" t="s">
        <v>97</v>
      </c>
      <c r="B1180" s="1" t="s">
        <v>68</v>
      </c>
      <c r="C1180" s="3">
        <v>803</v>
      </c>
    </row>
    <row r="1181" spans="1:3" x14ac:dyDescent="0.2">
      <c r="A1181" s="1" t="s">
        <v>97</v>
      </c>
      <c r="B1181" s="1" t="s">
        <v>16</v>
      </c>
      <c r="C1181" s="3">
        <v>32335.34</v>
      </c>
    </row>
    <row r="1182" spans="1:3" x14ac:dyDescent="0.2">
      <c r="A1182" s="1" t="s">
        <v>97</v>
      </c>
      <c r="B1182" s="1" t="s">
        <v>17</v>
      </c>
      <c r="C1182" s="3">
        <v>2131.37</v>
      </c>
    </row>
    <row r="1183" spans="1:3" x14ac:dyDescent="0.2">
      <c r="A1183" s="1" t="s">
        <v>97</v>
      </c>
      <c r="B1183" s="1" t="s">
        <v>75</v>
      </c>
      <c r="C1183" s="3">
        <v>119.7</v>
      </c>
    </row>
    <row r="1184" spans="1:3" x14ac:dyDescent="0.2">
      <c r="A1184" s="1" t="s">
        <v>97</v>
      </c>
      <c r="B1184" s="1" t="s">
        <v>18</v>
      </c>
      <c r="C1184" s="3">
        <v>23779.34</v>
      </c>
    </row>
    <row r="1185" spans="1:3" x14ac:dyDescent="0.2">
      <c r="A1185" s="1" t="s">
        <v>97</v>
      </c>
      <c r="B1185" s="1" t="s">
        <v>19</v>
      </c>
      <c r="C1185" s="3">
        <v>39760.160000000003</v>
      </c>
    </row>
    <row r="1186" spans="1:3" x14ac:dyDescent="0.2">
      <c r="A1186" s="1" t="s">
        <v>97</v>
      </c>
      <c r="B1186" s="1" t="s">
        <v>41</v>
      </c>
      <c r="C1186" s="3">
        <v>3048.51</v>
      </c>
    </row>
    <row r="1187" spans="1:3" x14ac:dyDescent="0.2">
      <c r="A1187" s="1" t="s">
        <v>97</v>
      </c>
      <c r="B1187" s="1" t="s">
        <v>42</v>
      </c>
      <c r="C1187" s="3">
        <v>7989.38</v>
      </c>
    </row>
    <row r="1188" spans="1:3" x14ac:dyDescent="0.2">
      <c r="A1188" s="1" t="s">
        <v>97</v>
      </c>
      <c r="B1188" s="1" t="s">
        <v>43</v>
      </c>
      <c r="C1188" s="3">
        <v>1626.19</v>
      </c>
    </row>
    <row r="1189" spans="1:3" x14ac:dyDescent="0.2">
      <c r="A1189" s="1" t="s">
        <v>97</v>
      </c>
      <c r="B1189" s="1" t="s">
        <v>44</v>
      </c>
      <c r="C1189" s="3">
        <v>3878.12</v>
      </c>
    </row>
    <row r="1190" spans="1:3" x14ac:dyDescent="0.2">
      <c r="A1190" s="1" t="s">
        <v>97</v>
      </c>
      <c r="B1190" s="1" t="s">
        <v>20</v>
      </c>
      <c r="C1190" s="3">
        <v>27047.49</v>
      </c>
    </row>
    <row r="1191" spans="1:3" x14ac:dyDescent="0.2">
      <c r="A1191" s="1" t="s">
        <v>97</v>
      </c>
      <c r="B1191" s="1" t="s">
        <v>45</v>
      </c>
      <c r="C1191" s="3">
        <v>1470.88</v>
      </c>
    </row>
    <row r="1192" spans="1:3" x14ac:dyDescent="0.2">
      <c r="A1192" s="1" t="s">
        <v>97</v>
      </c>
      <c r="B1192" s="1" t="s">
        <v>46</v>
      </c>
      <c r="C1192" s="3">
        <v>714.48</v>
      </c>
    </row>
    <row r="1193" spans="1:3" x14ac:dyDescent="0.2">
      <c r="A1193" s="1" t="s">
        <v>97</v>
      </c>
      <c r="B1193" s="1" t="s">
        <v>81</v>
      </c>
      <c r="C1193" s="3">
        <v>494</v>
      </c>
    </row>
    <row r="1194" spans="1:3" x14ac:dyDescent="0.2">
      <c r="A1194" s="1" t="s">
        <v>97</v>
      </c>
      <c r="B1194" s="1" t="s">
        <v>21</v>
      </c>
      <c r="C1194" s="3">
        <v>5926.77</v>
      </c>
    </row>
    <row r="1195" spans="1:3" x14ac:dyDescent="0.2">
      <c r="A1195" s="1" t="s">
        <v>97</v>
      </c>
      <c r="B1195" s="1" t="s">
        <v>22</v>
      </c>
      <c r="C1195" s="3">
        <v>1448.69</v>
      </c>
    </row>
    <row r="1196" spans="1:3" x14ac:dyDescent="0.2">
      <c r="A1196" s="1" t="s">
        <v>97</v>
      </c>
      <c r="B1196" s="1" t="s">
        <v>23</v>
      </c>
      <c r="C1196" s="3">
        <v>7741.89</v>
      </c>
    </row>
    <row r="1197" spans="1:3" x14ac:dyDescent="0.2">
      <c r="A1197" s="1" t="s">
        <v>97</v>
      </c>
      <c r="B1197" s="1" t="s">
        <v>47</v>
      </c>
      <c r="C1197" s="3">
        <v>10439.129999999999</v>
      </c>
    </row>
    <row r="1198" spans="1:3" x14ac:dyDescent="0.2">
      <c r="A1198" s="1" t="s">
        <v>97</v>
      </c>
      <c r="B1198" s="1" t="s">
        <v>76</v>
      </c>
      <c r="C1198" s="3">
        <v>258.89999999999998</v>
      </c>
    </row>
    <row r="1199" spans="1:3" x14ac:dyDescent="0.2">
      <c r="A1199" s="1" t="s">
        <v>97</v>
      </c>
      <c r="B1199" s="1" t="s">
        <v>24</v>
      </c>
      <c r="C1199" s="3">
        <v>13954.45</v>
      </c>
    </row>
    <row r="1200" spans="1:3" x14ac:dyDescent="0.2">
      <c r="A1200" s="1" t="s">
        <v>97</v>
      </c>
      <c r="B1200" s="1" t="s">
        <v>48</v>
      </c>
      <c r="C1200" s="3">
        <v>9018</v>
      </c>
    </row>
    <row r="1201" spans="1:3" x14ac:dyDescent="0.2">
      <c r="A1201" s="1" t="s">
        <v>97</v>
      </c>
      <c r="B1201" s="1" t="s">
        <v>70</v>
      </c>
      <c r="C1201" s="3">
        <v>612.5</v>
      </c>
    </row>
    <row r="1202" spans="1:3" x14ac:dyDescent="0.2">
      <c r="A1202" s="1" t="s">
        <v>97</v>
      </c>
      <c r="B1202" s="1" t="s">
        <v>25</v>
      </c>
      <c r="C1202" s="3">
        <v>8589.0400000000009</v>
      </c>
    </row>
    <row r="1203" spans="1:3" x14ac:dyDescent="0.2">
      <c r="A1203" s="1" t="s">
        <v>97</v>
      </c>
      <c r="B1203" s="1" t="s">
        <v>71</v>
      </c>
      <c r="C1203" s="3">
        <v>4754.8999999999996</v>
      </c>
    </row>
    <row r="1204" spans="1:3" x14ac:dyDescent="0.2">
      <c r="A1204" s="1" t="s">
        <v>97</v>
      </c>
      <c r="B1204" s="1" t="s">
        <v>26</v>
      </c>
      <c r="C1204" s="3">
        <v>44116.9</v>
      </c>
    </row>
    <row r="1205" spans="1:3" x14ac:dyDescent="0.2">
      <c r="A1205" s="1" t="s">
        <v>97</v>
      </c>
      <c r="B1205" s="1" t="s">
        <v>27</v>
      </c>
      <c r="C1205" s="3">
        <v>8917.91</v>
      </c>
    </row>
    <row r="1206" spans="1:3" x14ac:dyDescent="0.2">
      <c r="A1206" s="1" t="s">
        <v>97</v>
      </c>
      <c r="B1206" s="1" t="s">
        <v>28</v>
      </c>
      <c r="C1206" s="3">
        <v>12175.47</v>
      </c>
    </row>
    <row r="1207" spans="1:3" x14ac:dyDescent="0.2">
      <c r="A1207" s="1" t="s">
        <v>97</v>
      </c>
      <c r="B1207" s="1" t="s">
        <v>29</v>
      </c>
      <c r="C1207" s="3">
        <v>15783.32</v>
      </c>
    </row>
    <row r="1208" spans="1:3" x14ac:dyDescent="0.2">
      <c r="A1208" s="1" t="s">
        <v>97</v>
      </c>
      <c r="B1208" s="1" t="s">
        <v>30</v>
      </c>
      <c r="C1208" s="3">
        <v>33419.33</v>
      </c>
    </row>
    <row r="1209" spans="1:3" x14ac:dyDescent="0.2">
      <c r="A1209" s="1" t="s">
        <v>98</v>
      </c>
      <c r="B1209" s="1" t="s">
        <v>4</v>
      </c>
      <c r="C1209" s="3">
        <v>2373.88</v>
      </c>
    </row>
    <row r="1210" spans="1:3" x14ac:dyDescent="0.2">
      <c r="A1210" s="1" t="s">
        <v>98</v>
      </c>
      <c r="B1210" s="1" t="s">
        <v>5</v>
      </c>
      <c r="C1210" s="3">
        <v>1447.49</v>
      </c>
    </row>
    <row r="1211" spans="1:3" x14ac:dyDescent="0.2">
      <c r="A1211" s="1" t="s">
        <v>98</v>
      </c>
      <c r="B1211" s="1" t="s">
        <v>6</v>
      </c>
      <c r="C1211" s="3">
        <v>1812.17</v>
      </c>
    </row>
    <row r="1212" spans="1:3" x14ac:dyDescent="0.2">
      <c r="A1212" s="1" t="s">
        <v>98</v>
      </c>
      <c r="B1212" s="1" t="s">
        <v>7</v>
      </c>
      <c r="C1212" s="3">
        <v>135</v>
      </c>
    </row>
    <row r="1213" spans="1:3" x14ac:dyDescent="0.2">
      <c r="A1213" s="1" t="s">
        <v>98</v>
      </c>
      <c r="B1213" s="1" t="s">
        <v>56</v>
      </c>
      <c r="C1213" s="3">
        <v>59.89</v>
      </c>
    </row>
    <row r="1214" spans="1:3" x14ac:dyDescent="0.2">
      <c r="A1214" s="1" t="s">
        <v>98</v>
      </c>
      <c r="B1214" s="1" t="s">
        <v>9</v>
      </c>
      <c r="C1214" s="3">
        <v>2500</v>
      </c>
    </row>
    <row r="1215" spans="1:3" x14ac:dyDescent="0.2">
      <c r="A1215" s="1" t="s">
        <v>98</v>
      </c>
      <c r="B1215" s="1" t="s">
        <v>10</v>
      </c>
      <c r="C1215" s="3">
        <v>4052.9</v>
      </c>
    </row>
    <row r="1216" spans="1:3" x14ac:dyDescent="0.2">
      <c r="A1216" s="1" t="s">
        <v>98</v>
      </c>
      <c r="B1216" s="1" t="s">
        <v>11</v>
      </c>
      <c r="C1216" s="3">
        <v>1731.99</v>
      </c>
    </row>
    <row r="1217" spans="1:3" x14ac:dyDescent="0.2">
      <c r="A1217" s="1" t="s">
        <v>98</v>
      </c>
      <c r="B1217" s="1" t="s">
        <v>35</v>
      </c>
      <c r="C1217" s="3">
        <v>779.9</v>
      </c>
    </row>
    <row r="1218" spans="1:3" x14ac:dyDescent="0.2">
      <c r="A1218" s="1" t="s">
        <v>98</v>
      </c>
      <c r="B1218" s="1" t="s">
        <v>59</v>
      </c>
      <c r="C1218" s="3">
        <v>230</v>
      </c>
    </row>
    <row r="1219" spans="1:3" x14ac:dyDescent="0.2">
      <c r="A1219" s="1" t="s">
        <v>98</v>
      </c>
      <c r="B1219" s="1" t="s">
        <v>60</v>
      </c>
      <c r="C1219" s="3">
        <v>77.900000000000006</v>
      </c>
    </row>
    <row r="1220" spans="1:3" x14ac:dyDescent="0.2">
      <c r="A1220" s="1" t="s">
        <v>98</v>
      </c>
      <c r="B1220" s="1" t="s">
        <v>12</v>
      </c>
      <c r="C1220" s="3">
        <v>5686.67</v>
      </c>
    </row>
    <row r="1221" spans="1:3" x14ac:dyDescent="0.2">
      <c r="A1221" s="1" t="s">
        <v>98</v>
      </c>
      <c r="B1221" s="1" t="s">
        <v>13</v>
      </c>
      <c r="C1221" s="3">
        <v>1105.8399999999999</v>
      </c>
    </row>
    <row r="1222" spans="1:3" x14ac:dyDescent="0.2">
      <c r="A1222" s="1" t="s">
        <v>98</v>
      </c>
      <c r="B1222" s="1" t="s">
        <v>14</v>
      </c>
      <c r="C1222" s="3">
        <v>466.5</v>
      </c>
    </row>
    <row r="1223" spans="1:3" x14ac:dyDescent="0.2">
      <c r="A1223" s="1" t="s">
        <v>98</v>
      </c>
      <c r="B1223" s="1" t="s">
        <v>38</v>
      </c>
      <c r="C1223" s="3">
        <v>69.98</v>
      </c>
    </row>
    <row r="1224" spans="1:3" x14ac:dyDescent="0.2">
      <c r="A1224" s="1" t="s">
        <v>98</v>
      </c>
      <c r="B1224" s="1" t="s">
        <v>39</v>
      </c>
      <c r="C1224" s="3">
        <v>18.45</v>
      </c>
    </row>
    <row r="1225" spans="1:3" x14ac:dyDescent="0.2">
      <c r="A1225" s="1" t="s">
        <v>98</v>
      </c>
      <c r="B1225" s="1" t="s">
        <v>40</v>
      </c>
      <c r="C1225" s="3">
        <v>119.9</v>
      </c>
    </row>
    <row r="1226" spans="1:3" x14ac:dyDescent="0.2">
      <c r="A1226" s="1" t="s">
        <v>98</v>
      </c>
      <c r="B1226" s="1" t="s">
        <v>68</v>
      </c>
      <c r="C1226" s="3">
        <v>269.98</v>
      </c>
    </row>
    <row r="1227" spans="1:3" x14ac:dyDescent="0.2">
      <c r="A1227" s="1" t="s">
        <v>98</v>
      </c>
      <c r="B1227" s="1" t="s">
        <v>16</v>
      </c>
      <c r="C1227" s="3">
        <v>4231.3900000000003</v>
      </c>
    </row>
    <row r="1228" spans="1:3" x14ac:dyDescent="0.2">
      <c r="A1228" s="1" t="s">
        <v>98</v>
      </c>
      <c r="B1228" s="1" t="s">
        <v>17</v>
      </c>
      <c r="C1228" s="3">
        <v>870.99</v>
      </c>
    </row>
    <row r="1229" spans="1:3" x14ac:dyDescent="0.2">
      <c r="A1229" s="1" t="s">
        <v>98</v>
      </c>
      <c r="B1229" s="1" t="s">
        <v>18</v>
      </c>
      <c r="C1229" s="3">
        <v>3568.13</v>
      </c>
    </row>
    <row r="1230" spans="1:3" x14ac:dyDescent="0.2">
      <c r="A1230" s="1" t="s">
        <v>98</v>
      </c>
      <c r="B1230" s="1" t="s">
        <v>19</v>
      </c>
      <c r="C1230" s="3">
        <v>8883.66</v>
      </c>
    </row>
    <row r="1231" spans="1:3" x14ac:dyDescent="0.2">
      <c r="A1231" s="1" t="s">
        <v>98</v>
      </c>
      <c r="B1231" s="1" t="s">
        <v>41</v>
      </c>
      <c r="C1231" s="3">
        <v>80</v>
      </c>
    </row>
    <row r="1232" spans="1:3" x14ac:dyDescent="0.2">
      <c r="A1232" s="1" t="s">
        <v>98</v>
      </c>
      <c r="B1232" s="1" t="s">
        <v>42</v>
      </c>
      <c r="C1232" s="3">
        <v>119.99</v>
      </c>
    </row>
    <row r="1233" spans="1:3" x14ac:dyDescent="0.2">
      <c r="A1233" s="1" t="s">
        <v>98</v>
      </c>
      <c r="B1233" s="1" t="s">
        <v>43</v>
      </c>
      <c r="C1233" s="3">
        <v>219</v>
      </c>
    </row>
    <row r="1234" spans="1:3" x14ac:dyDescent="0.2">
      <c r="A1234" s="1" t="s">
        <v>98</v>
      </c>
      <c r="B1234" s="1" t="s">
        <v>44</v>
      </c>
      <c r="C1234" s="3">
        <v>884.95</v>
      </c>
    </row>
    <row r="1235" spans="1:3" x14ac:dyDescent="0.2">
      <c r="A1235" s="1" t="s">
        <v>98</v>
      </c>
      <c r="B1235" s="1" t="s">
        <v>20</v>
      </c>
      <c r="C1235" s="3">
        <v>1267.48</v>
      </c>
    </row>
    <row r="1236" spans="1:3" x14ac:dyDescent="0.2">
      <c r="A1236" s="1" t="s">
        <v>98</v>
      </c>
      <c r="B1236" s="1" t="s">
        <v>45</v>
      </c>
      <c r="C1236" s="3">
        <v>252</v>
      </c>
    </row>
    <row r="1237" spans="1:3" x14ac:dyDescent="0.2">
      <c r="A1237" s="1" t="s">
        <v>98</v>
      </c>
      <c r="B1237" s="1" t="s">
        <v>21</v>
      </c>
      <c r="C1237" s="3">
        <v>289.7</v>
      </c>
    </row>
    <row r="1238" spans="1:3" x14ac:dyDescent="0.2">
      <c r="A1238" s="1" t="s">
        <v>98</v>
      </c>
      <c r="B1238" s="1" t="s">
        <v>22</v>
      </c>
      <c r="C1238" s="3">
        <v>533.79999999999995</v>
      </c>
    </row>
    <row r="1239" spans="1:3" x14ac:dyDescent="0.2">
      <c r="A1239" s="1" t="s">
        <v>98</v>
      </c>
      <c r="B1239" s="1" t="s">
        <v>23</v>
      </c>
      <c r="C1239" s="3">
        <v>1714.8</v>
      </c>
    </row>
    <row r="1240" spans="1:3" x14ac:dyDescent="0.2">
      <c r="A1240" s="1" t="s">
        <v>98</v>
      </c>
      <c r="B1240" s="1" t="s">
        <v>47</v>
      </c>
      <c r="C1240" s="3">
        <v>506.93</v>
      </c>
    </row>
    <row r="1241" spans="1:3" x14ac:dyDescent="0.2">
      <c r="A1241" s="1" t="s">
        <v>98</v>
      </c>
      <c r="B1241" s="1" t="s">
        <v>24</v>
      </c>
      <c r="C1241" s="3">
        <v>868.72</v>
      </c>
    </row>
    <row r="1242" spans="1:3" x14ac:dyDescent="0.2">
      <c r="A1242" s="1" t="s">
        <v>98</v>
      </c>
      <c r="B1242" s="1" t="s">
        <v>48</v>
      </c>
      <c r="C1242" s="3">
        <v>172.54</v>
      </c>
    </row>
    <row r="1243" spans="1:3" x14ac:dyDescent="0.2">
      <c r="A1243" s="1" t="s">
        <v>98</v>
      </c>
      <c r="B1243" s="1" t="s">
        <v>70</v>
      </c>
      <c r="C1243" s="3">
        <v>169.98</v>
      </c>
    </row>
    <row r="1244" spans="1:3" x14ac:dyDescent="0.2">
      <c r="A1244" s="1" t="s">
        <v>98</v>
      </c>
      <c r="B1244" s="1" t="s">
        <v>25</v>
      </c>
      <c r="C1244" s="3">
        <v>1486.7</v>
      </c>
    </row>
    <row r="1245" spans="1:3" x14ac:dyDescent="0.2">
      <c r="A1245" s="1" t="s">
        <v>98</v>
      </c>
      <c r="B1245" s="1" t="s">
        <v>26</v>
      </c>
      <c r="C1245" s="3">
        <v>3116.92</v>
      </c>
    </row>
    <row r="1246" spans="1:3" x14ac:dyDescent="0.2">
      <c r="A1246" s="1" t="s">
        <v>98</v>
      </c>
      <c r="B1246" s="1" t="s">
        <v>27</v>
      </c>
      <c r="C1246" s="3">
        <v>208.8</v>
      </c>
    </row>
    <row r="1247" spans="1:3" x14ac:dyDescent="0.2">
      <c r="A1247" s="1" t="s">
        <v>98</v>
      </c>
      <c r="B1247" s="1" t="s">
        <v>28</v>
      </c>
      <c r="C1247" s="3">
        <v>2365.89</v>
      </c>
    </row>
    <row r="1248" spans="1:3" x14ac:dyDescent="0.2">
      <c r="A1248" s="1" t="s">
        <v>98</v>
      </c>
      <c r="B1248" s="1" t="s">
        <v>29</v>
      </c>
      <c r="C1248" s="3">
        <v>1100.29</v>
      </c>
    </row>
    <row r="1249" spans="1:3" x14ac:dyDescent="0.2">
      <c r="A1249" s="1" t="s">
        <v>98</v>
      </c>
      <c r="B1249" s="1" t="s">
        <v>30</v>
      </c>
      <c r="C1249" s="3">
        <v>2896</v>
      </c>
    </row>
    <row r="1250" spans="1:3" x14ac:dyDescent="0.2">
      <c r="A1250" s="1" t="s">
        <v>99</v>
      </c>
      <c r="B1250" s="1" t="s">
        <v>32</v>
      </c>
      <c r="C1250" s="3">
        <v>25884.05</v>
      </c>
    </row>
    <row r="1251" spans="1:3" x14ac:dyDescent="0.2">
      <c r="A1251" s="1" t="s">
        <v>99</v>
      </c>
      <c r="B1251" s="1" t="s">
        <v>33</v>
      </c>
      <c r="C1251" s="3">
        <v>22761.84</v>
      </c>
    </row>
    <row r="1252" spans="1:3" x14ac:dyDescent="0.2">
      <c r="A1252" s="1" t="s">
        <v>99</v>
      </c>
      <c r="B1252" s="1" t="s">
        <v>50</v>
      </c>
      <c r="C1252" s="3">
        <v>14937.84</v>
      </c>
    </row>
    <row r="1253" spans="1:3" x14ac:dyDescent="0.2">
      <c r="A1253" s="1" t="s">
        <v>99</v>
      </c>
      <c r="B1253" s="1" t="s">
        <v>74</v>
      </c>
      <c r="C1253" s="3">
        <v>906.25</v>
      </c>
    </row>
    <row r="1254" spans="1:3" x14ac:dyDescent="0.2">
      <c r="A1254" s="1" t="s">
        <v>99</v>
      </c>
      <c r="B1254" s="1" t="s">
        <v>34</v>
      </c>
      <c r="C1254" s="3">
        <v>17538.490000000002</v>
      </c>
    </row>
    <row r="1255" spans="1:3" x14ac:dyDescent="0.2">
      <c r="A1255" s="1" t="s">
        <v>99</v>
      </c>
      <c r="B1255" s="1" t="s">
        <v>4</v>
      </c>
      <c r="C1255" s="3">
        <v>214277.27</v>
      </c>
    </row>
    <row r="1256" spans="1:3" x14ac:dyDescent="0.2">
      <c r="A1256" s="1" t="s">
        <v>99</v>
      </c>
      <c r="B1256" s="1" t="s">
        <v>5</v>
      </c>
      <c r="C1256" s="3">
        <v>156716.76</v>
      </c>
    </row>
    <row r="1257" spans="1:3" x14ac:dyDescent="0.2">
      <c r="A1257" s="1" t="s">
        <v>99</v>
      </c>
      <c r="B1257" s="1" t="s">
        <v>6</v>
      </c>
      <c r="C1257" s="3">
        <v>478284.52</v>
      </c>
    </row>
    <row r="1258" spans="1:3" x14ac:dyDescent="0.2">
      <c r="A1258" s="1" t="s">
        <v>99</v>
      </c>
      <c r="B1258" s="1" t="s">
        <v>7</v>
      </c>
      <c r="C1258" s="3">
        <v>19293.650000000001</v>
      </c>
    </row>
    <row r="1259" spans="1:3" x14ac:dyDescent="0.2">
      <c r="A1259" s="1" t="s">
        <v>99</v>
      </c>
      <c r="B1259" s="1" t="s">
        <v>56</v>
      </c>
      <c r="C1259" s="3">
        <v>2484.5</v>
      </c>
    </row>
    <row r="1260" spans="1:3" x14ac:dyDescent="0.2">
      <c r="A1260" s="1" t="s">
        <v>99</v>
      </c>
      <c r="B1260" s="1" t="s">
        <v>57</v>
      </c>
      <c r="C1260" s="3">
        <v>7490.78</v>
      </c>
    </row>
    <row r="1261" spans="1:3" x14ac:dyDescent="0.2">
      <c r="A1261" s="1" t="s">
        <v>99</v>
      </c>
      <c r="B1261" s="1" t="s">
        <v>83</v>
      </c>
      <c r="C1261" s="3">
        <v>350</v>
      </c>
    </row>
    <row r="1262" spans="1:3" x14ac:dyDescent="0.2">
      <c r="A1262" s="1" t="s">
        <v>99</v>
      </c>
      <c r="B1262" s="1" t="s">
        <v>8</v>
      </c>
      <c r="C1262" s="3">
        <v>2143.98</v>
      </c>
    </row>
    <row r="1263" spans="1:3" x14ac:dyDescent="0.2">
      <c r="A1263" s="1" t="s">
        <v>99</v>
      </c>
      <c r="B1263" s="1" t="s">
        <v>58</v>
      </c>
      <c r="C1263" s="3">
        <v>2033.91</v>
      </c>
    </row>
    <row r="1264" spans="1:3" x14ac:dyDescent="0.2">
      <c r="A1264" s="1" t="s">
        <v>99</v>
      </c>
      <c r="B1264" s="1" t="s">
        <v>9</v>
      </c>
      <c r="C1264" s="3">
        <v>61993.27</v>
      </c>
    </row>
    <row r="1265" spans="1:3" x14ac:dyDescent="0.2">
      <c r="A1265" s="1" t="s">
        <v>99</v>
      </c>
      <c r="B1265" s="1" t="s">
        <v>10</v>
      </c>
      <c r="C1265" s="3">
        <v>350747.88</v>
      </c>
    </row>
    <row r="1266" spans="1:3" x14ac:dyDescent="0.2">
      <c r="A1266" s="1" t="s">
        <v>99</v>
      </c>
      <c r="B1266" s="1" t="s">
        <v>11</v>
      </c>
      <c r="C1266" s="3">
        <v>64100.25</v>
      </c>
    </row>
    <row r="1267" spans="1:3" x14ac:dyDescent="0.2">
      <c r="A1267" s="1" t="s">
        <v>99</v>
      </c>
      <c r="B1267" s="1" t="s">
        <v>35</v>
      </c>
      <c r="C1267" s="3">
        <v>60894.73</v>
      </c>
    </row>
    <row r="1268" spans="1:3" x14ac:dyDescent="0.2">
      <c r="A1268" s="1" t="s">
        <v>99</v>
      </c>
      <c r="B1268" s="1" t="s">
        <v>59</v>
      </c>
      <c r="C1268" s="3">
        <v>18972.16</v>
      </c>
    </row>
    <row r="1269" spans="1:3" x14ac:dyDescent="0.2">
      <c r="A1269" s="1" t="s">
        <v>99</v>
      </c>
      <c r="B1269" s="1" t="s">
        <v>60</v>
      </c>
      <c r="C1269" s="3">
        <v>14227.47</v>
      </c>
    </row>
    <row r="1270" spans="1:3" x14ac:dyDescent="0.2">
      <c r="A1270" s="1" t="s">
        <v>99</v>
      </c>
      <c r="B1270" s="1" t="s">
        <v>12</v>
      </c>
      <c r="C1270" s="3">
        <v>213186.89</v>
      </c>
    </row>
    <row r="1271" spans="1:3" x14ac:dyDescent="0.2">
      <c r="A1271" s="1" t="s">
        <v>99</v>
      </c>
      <c r="B1271" s="1" t="s">
        <v>51</v>
      </c>
      <c r="C1271" s="3">
        <v>7482.75</v>
      </c>
    </row>
    <row r="1272" spans="1:3" x14ac:dyDescent="0.2">
      <c r="A1272" s="1" t="s">
        <v>99</v>
      </c>
      <c r="B1272" s="1" t="s">
        <v>61</v>
      </c>
      <c r="C1272" s="3">
        <v>6786.25</v>
      </c>
    </row>
    <row r="1273" spans="1:3" x14ac:dyDescent="0.2">
      <c r="A1273" s="1" t="s">
        <v>99</v>
      </c>
      <c r="B1273" s="1" t="s">
        <v>62</v>
      </c>
      <c r="C1273" s="3">
        <v>1087.69</v>
      </c>
    </row>
    <row r="1274" spans="1:3" x14ac:dyDescent="0.2">
      <c r="A1274" s="1" t="s">
        <v>99</v>
      </c>
      <c r="B1274" s="1" t="s">
        <v>36</v>
      </c>
      <c r="C1274" s="3">
        <v>9125.1200000000008</v>
      </c>
    </row>
    <row r="1275" spans="1:3" x14ac:dyDescent="0.2">
      <c r="A1275" s="1" t="s">
        <v>99</v>
      </c>
      <c r="B1275" s="1" t="s">
        <v>37</v>
      </c>
      <c r="C1275" s="3">
        <v>4292.66</v>
      </c>
    </row>
    <row r="1276" spans="1:3" x14ac:dyDescent="0.2">
      <c r="A1276" s="1" t="s">
        <v>99</v>
      </c>
      <c r="B1276" s="1" t="s">
        <v>13</v>
      </c>
      <c r="C1276" s="3">
        <v>53164.94</v>
      </c>
    </row>
    <row r="1277" spans="1:3" x14ac:dyDescent="0.2">
      <c r="A1277" s="1" t="s">
        <v>99</v>
      </c>
      <c r="B1277" s="1" t="s">
        <v>63</v>
      </c>
      <c r="C1277" s="3">
        <v>1448.97</v>
      </c>
    </row>
    <row r="1278" spans="1:3" x14ac:dyDescent="0.2">
      <c r="A1278" s="1" t="s">
        <v>99</v>
      </c>
      <c r="B1278" s="1" t="s">
        <v>14</v>
      </c>
      <c r="C1278" s="3">
        <v>57242.3</v>
      </c>
    </row>
    <row r="1279" spans="1:3" x14ac:dyDescent="0.2">
      <c r="A1279" s="1" t="s">
        <v>99</v>
      </c>
      <c r="B1279" s="1" t="s">
        <v>64</v>
      </c>
      <c r="C1279" s="3">
        <v>279.97000000000003</v>
      </c>
    </row>
    <row r="1280" spans="1:3" x14ac:dyDescent="0.2">
      <c r="A1280" s="1" t="s">
        <v>99</v>
      </c>
      <c r="B1280" s="1" t="s">
        <v>65</v>
      </c>
      <c r="C1280" s="3">
        <v>4294.28</v>
      </c>
    </row>
    <row r="1281" spans="1:3" x14ac:dyDescent="0.2">
      <c r="A1281" s="1" t="s">
        <v>99</v>
      </c>
      <c r="B1281" s="1" t="s">
        <v>15</v>
      </c>
      <c r="C1281" s="3">
        <v>6898.6</v>
      </c>
    </row>
    <row r="1282" spans="1:3" x14ac:dyDescent="0.2">
      <c r="A1282" s="1" t="s">
        <v>99</v>
      </c>
      <c r="B1282" s="1" t="s">
        <v>66</v>
      </c>
      <c r="C1282" s="3">
        <v>939.8</v>
      </c>
    </row>
    <row r="1283" spans="1:3" x14ac:dyDescent="0.2">
      <c r="A1283" s="1" t="s">
        <v>99</v>
      </c>
      <c r="B1283" s="1" t="s">
        <v>67</v>
      </c>
      <c r="C1283" s="3">
        <v>3670.75</v>
      </c>
    </row>
    <row r="1284" spans="1:3" x14ac:dyDescent="0.2">
      <c r="A1284" s="1" t="s">
        <v>99</v>
      </c>
      <c r="B1284" s="1" t="s">
        <v>38</v>
      </c>
      <c r="C1284" s="3">
        <v>15582.33</v>
      </c>
    </row>
    <row r="1285" spans="1:3" x14ac:dyDescent="0.2">
      <c r="A1285" s="1" t="s">
        <v>99</v>
      </c>
      <c r="B1285" s="1" t="s">
        <v>79</v>
      </c>
      <c r="C1285" s="3">
        <v>438.67</v>
      </c>
    </row>
    <row r="1286" spans="1:3" x14ac:dyDescent="0.2">
      <c r="A1286" s="1" t="s">
        <v>99</v>
      </c>
      <c r="B1286" s="1" t="s">
        <v>39</v>
      </c>
      <c r="C1286" s="3">
        <v>15478.57</v>
      </c>
    </row>
    <row r="1287" spans="1:3" x14ac:dyDescent="0.2">
      <c r="A1287" s="1" t="s">
        <v>99</v>
      </c>
      <c r="B1287" s="1" t="s">
        <v>40</v>
      </c>
      <c r="C1287" s="3">
        <v>6402.16</v>
      </c>
    </row>
    <row r="1288" spans="1:3" x14ac:dyDescent="0.2">
      <c r="A1288" s="1" t="s">
        <v>99</v>
      </c>
      <c r="B1288" s="1" t="s">
        <v>68</v>
      </c>
      <c r="C1288" s="3">
        <v>9946.06</v>
      </c>
    </row>
    <row r="1289" spans="1:3" x14ac:dyDescent="0.2">
      <c r="A1289" s="1" t="s">
        <v>99</v>
      </c>
      <c r="B1289" s="1" t="s">
        <v>16</v>
      </c>
      <c r="C1289" s="3">
        <v>286708.02</v>
      </c>
    </row>
    <row r="1290" spans="1:3" x14ac:dyDescent="0.2">
      <c r="A1290" s="1" t="s">
        <v>99</v>
      </c>
      <c r="B1290" s="1" t="s">
        <v>17</v>
      </c>
      <c r="C1290" s="3">
        <v>23332.23</v>
      </c>
    </row>
    <row r="1291" spans="1:3" x14ac:dyDescent="0.2">
      <c r="A1291" s="1" t="s">
        <v>99</v>
      </c>
      <c r="B1291" s="1" t="s">
        <v>75</v>
      </c>
      <c r="C1291" s="3">
        <v>2083.9</v>
      </c>
    </row>
    <row r="1292" spans="1:3" x14ac:dyDescent="0.2">
      <c r="A1292" s="1" t="s">
        <v>99</v>
      </c>
      <c r="B1292" s="1" t="s">
        <v>18</v>
      </c>
      <c r="C1292" s="3">
        <v>153180.74</v>
      </c>
    </row>
    <row r="1293" spans="1:3" x14ac:dyDescent="0.2">
      <c r="A1293" s="1" t="s">
        <v>99</v>
      </c>
      <c r="B1293" s="1" t="s">
        <v>19</v>
      </c>
      <c r="C1293" s="3">
        <v>462305.22</v>
      </c>
    </row>
    <row r="1294" spans="1:3" x14ac:dyDescent="0.2">
      <c r="A1294" s="1" t="s">
        <v>99</v>
      </c>
      <c r="B1294" s="1" t="s">
        <v>41</v>
      </c>
      <c r="C1294" s="3">
        <v>33872.230000000003</v>
      </c>
    </row>
    <row r="1295" spans="1:3" x14ac:dyDescent="0.2">
      <c r="A1295" s="1" t="s">
        <v>99</v>
      </c>
      <c r="B1295" s="1" t="s">
        <v>42</v>
      </c>
      <c r="C1295" s="3">
        <v>33073.760000000002</v>
      </c>
    </row>
    <row r="1296" spans="1:3" x14ac:dyDescent="0.2">
      <c r="A1296" s="1" t="s">
        <v>99</v>
      </c>
      <c r="B1296" s="1" t="s">
        <v>69</v>
      </c>
      <c r="C1296" s="3">
        <v>456.78</v>
      </c>
    </row>
    <row r="1297" spans="1:3" x14ac:dyDescent="0.2">
      <c r="A1297" s="1" t="s">
        <v>99</v>
      </c>
      <c r="B1297" s="1" t="s">
        <v>43</v>
      </c>
      <c r="C1297" s="3">
        <v>27333.63</v>
      </c>
    </row>
    <row r="1298" spans="1:3" x14ac:dyDescent="0.2">
      <c r="A1298" s="1" t="s">
        <v>99</v>
      </c>
      <c r="B1298" s="1" t="s">
        <v>44</v>
      </c>
      <c r="C1298" s="3">
        <v>34286.58</v>
      </c>
    </row>
    <row r="1299" spans="1:3" x14ac:dyDescent="0.2">
      <c r="A1299" s="1" t="s">
        <v>99</v>
      </c>
      <c r="B1299" s="1" t="s">
        <v>20</v>
      </c>
      <c r="C1299" s="3">
        <v>275378.63</v>
      </c>
    </row>
    <row r="1300" spans="1:3" x14ac:dyDescent="0.2">
      <c r="A1300" s="1" t="s">
        <v>99</v>
      </c>
      <c r="B1300" s="1" t="s">
        <v>45</v>
      </c>
      <c r="C1300" s="3">
        <v>18520.7</v>
      </c>
    </row>
    <row r="1301" spans="1:3" x14ac:dyDescent="0.2">
      <c r="A1301" s="1" t="s">
        <v>99</v>
      </c>
      <c r="B1301" s="1" t="s">
        <v>46</v>
      </c>
      <c r="C1301" s="3">
        <v>24029.26</v>
      </c>
    </row>
    <row r="1302" spans="1:3" x14ac:dyDescent="0.2">
      <c r="A1302" s="1" t="s">
        <v>99</v>
      </c>
      <c r="B1302" s="1" t="s">
        <v>81</v>
      </c>
      <c r="C1302" s="3">
        <v>729</v>
      </c>
    </row>
    <row r="1303" spans="1:3" x14ac:dyDescent="0.2">
      <c r="A1303" s="1" t="s">
        <v>99</v>
      </c>
      <c r="B1303" s="1" t="s">
        <v>21</v>
      </c>
      <c r="C1303" s="3">
        <v>57144.97</v>
      </c>
    </row>
    <row r="1304" spans="1:3" x14ac:dyDescent="0.2">
      <c r="A1304" s="1" t="s">
        <v>99</v>
      </c>
      <c r="B1304" s="1" t="s">
        <v>22</v>
      </c>
      <c r="C1304" s="3">
        <v>9824.6299999999992</v>
      </c>
    </row>
    <row r="1305" spans="1:3" x14ac:dyDescent="0.2">
      <c r="A1305" s="1" t="s">
        <v>99</v>
      </c>
      <c r="B1305" s="1" t="s">
        <v>52</v>
      </c>
      <c r="C1305" s="3">
        <v>2093.25</v>
      </c>
    </row>
    <row r="1306" spans="1:3" x14ac:dyDescent="0.2">
      <c r="A1306" s="1" t="s">
        <v>99</v>
      </c>
      <c r="B1306" s="1" t="s">
        <v>23</v>
      </c>
      <c r="C1306" s="3">
        <v>69582.41</v>
      </c>
    </row>
    <row r="1307" spans="1:3" x14ac:dyDescent="0.2">
      <c r="A1307" s="1" t="s">
        <v>99</v>
      </c>
      <c r="B1307" s="1" t="s">
        <v>47</v>
      </c>
      <c r="C1307" s="3">
        <v>108018.87</v>
      </c>
    </row>
    <row r="1308" spans="1:3" x14ac:dyDescent="0.2">
      <c r="A1308" s="1" t="s">
        <v>99</v>
      </c>
      <c r="B1308" s="1" t="s">
        <v>76</v>
      </c>
      <c r="C1308" s="3">
        <v>1585.88</v>
      </c>
    </row>
    <row r="1309" spans="1:3" x14ac:dyDescent="0.2">
      <c r="A1309" s="1" t="s">
        <v>99</v>
      </c>
      <c r="B1309" s="1" t="s">
        <v>24</v>
      </c>
      <c r="C1309" s="3">
        <v>166630.54999999999</v>
      </c>
    </row>
    <row r="1310" spans="1:3" x14ac:dyDescent="0.2">
      <c r="A1310" s="1" t="s">
        <v>99</v>
      </c>
      <c r="B1310" s="1" t="s">
        <v>48</v>
      </c>
      <c r="C1310" s="3">
        <v>89396.15</v>
      </c>
    </row>
    <row r="1311" spans="1:3" x14ac:dyDescent="0.2">
      <c r="A1311" s="1" t="s">
        <v>99</v>
      </c>
      <c r="B1311" s="1" t="s">
        <v>70</v>
      </c>
      <c r="C1311" s="3">
        <v>7949.51</v>
      </c>
    </row>
    <row r="1312" spans="1:3" x14ac:dyDescent="0.2">
      <c r="A1312" s="1" t="s">
        <v>99</v>
      </c>
      <c r="B1312" s="1" t="s">
        <v>25</v>
      </c>
      <c r="C1312" s="3">
        <v>72283.81</v>
      </c>
    </row>
    <row r="1313" spans="1:3" x14ac:dyDescent="0.2">
      <c r="A1313" s="1" t="s">
        <v>99</v>
      </c>
      <c r="B1313" s="1" t="s">
        <v>71</v>
      </c>
      <c r="C1313" s="3">
        <v>16562.55</v>
      </c>
    </row>
    <row r="1314" spans="1:3" x14ac:dyDescent="0.2">
      <c r="A1314" s="1" t="s">
        <v>99</v>
      </c>
      <c r="B1314" s="1" t="s">
        <v>26</v>
      </c>
      <c r="C1314" s="3">
        <v>386357.01</v>
      </c>
    </row>
    <row r="1315" spans="1:3" x14ac:dyDescent="0.2">
      <c r="A1315" s="1" t="s">
        <v>99</v>
      </c>
      <c r="B1315" s="1" t="s">
        <v>27</v>
      </c>
      <c r="C1315" s="3">
        <v>90598.73</v>
      </c>
    </row>
    <row r="1316" spans="1:3" x14ac:dyDescent="0.2">
      <c r="A1316" s="1" t="s">
        <v>99</v>
      </c>
      <c r="B1316" s="1" t="s">
        <v>53</v>
      </c>
      <c r="C1316" s="3">
        <v>2449.7600000000002</v>
      </c>
    </row>
    <row r="1317" spans="1:3" x14ac:dyDescent="0.2">
      <c r="A1317" s="1" t="s">
        <v>99</v>
      </c>
      <c r="B1317" s="1" t="s">
        <v>28</v>
      </c>
      <c r="C1317" s="3">
        <v>104088.28</v>
      </c>
    </row>
    <row r="1318" spans="1:3" x14ac:dyDescent="0.2">
      <c r="A1318" s="1" t="s">
        <v>99</v>
      </c>
      <c r="B1318" s="1" t="s">
        <v>29</v>
      </c>
      <c r="C1318" s="3">
        <v>185561.83</v>
      </c>
    </row>
    <row r="1319" spans="1:3" x14ac:dyDescent="0.2">
      <c r="A1319" s="1" t="s">
        <v>99</v>
      </c>
      <c r="B1319" s="1" t="s">
        <v>30</v>
      </c>
      <c r="C1319" s="3">
        <v>435009.92</v>
      </c>
    </row>
    <row r="1320" spans="1:3" x14ac:dyDescent="0.2">
      <c r="A1320" s="1" t="s">
        <v>100</v>
      </c>
      <c r="B1320" s="1" t="s">
        <v>34</v>
      </c>
      <c r="C1320" s="3">
        <v>175</v>
      </c>
    </row>
    <row r="1321" spans="1:3" x14ac:dyDescent="0.2">
      <c r="A1321" s="1" t="s">
        <v>100</v>
      </c>
      <c r="B1321" s="1" t="s">
        <v>4</v>
      </c>
      <c r="C1321" s="3">
        <v>2418.84</v>
      </c>
    </row>
    <row r="1322" spans="1:3" x14ac:dyDescent="0.2">
      <c r="A1322" s="1" t="s">
        <v>100</v>
      </c>
      <c r="B1322" s="1" t="s">
        <v>5</v>
      </c>
      <c r="C1322" s="3">
        <v>2179.63</v>
      </c>
    </row>
    <row r="1323" spans="1:3" x14ac:dyDescent="0.2">
      <c r="A1323" s="1" t="s">
        <v>100</v>
      </c>
      <c r="B1323" s="1" t="s">
        <v>6</v>
      </c>
      <c r="C1323" s="3">
        <v>1010.83</v>
      </c>
    </row>
    <row r="1324" spans="1:3" x14ac:dyDescent="0.2">
      <c r="A1324" s="1" t="s">
        <v>100</v>
      </c>
      <c r="B1324" s="1" t="s">
        <v>7</v>
      </c>
      <c r="C1324" s="3">
        <v>32.9</v>
      </c>
    </row>
    <row r="1325" spans="1:3" x14ac:dyDescent="0.2">
      <c r="A1325" s="1" t="s">
        <v>100</v>
      </c>
      <c r="B1325" s="1" t="s">
        <v>57</v>
      </c>
      <c r="C1325" s="3">
        <v>204.6</v>
      </c>
    </row>
    <row r="1326" spans="1:3" x14ac:dyDescent="0.2">
      <c r="A1326" s="1" t="s">
        <v>100</v>
      </c>
      <c r="B1326" s="1" t="s">
        <v>9</v>
      </c>
      <c r="C1326" s="3">
        <v>1200</v>
      </c>
    </row>
    <row r="1327" spans="1:3" x14ac:dyDescent="0.2">
      <c r="A1327" s="1" t="s">
        <v>100</v>
      </c>
      <c r="B1327" s="1" t="s">
        <v>10</v>
      </c>
      <c r="C1327" s="3">
        <v>4360.97</v>
      </c>
    </row>
    <row r="1328" spans="1:3" x14ac:dyDescent="0.2">
      <c r="A1328" s="1" t="s">
        <v>100</v>
      </c>
      <c r="B1328" s="1" t="s">
        <v>11</v>
      </c>
      <c r="C1328" s="3">
        <v>328.7</v>
      </c>
    </row>
    <row r="1329" spans="1:3" x14ac:dyDescent="0.2">
      <c r="A1329" s="1" t="s">
        <v>100</v>
      </c>
      <c r="B1329" s="1" t="s">
        <v>59</v>
      </c>
      <c r="C1329" s="3">
        <v>274</v>
      </c>
    </row>
    <row r="1330" spans="1:3" x14ac:dyDescent="0.2">
      <c r="A1330" s="1" t="s">
        <v>100</v>
      </c>
      <c r="B1330" s="1" t="s">
        <v>12</v>
      </c>
      <c r="C1330" s="3">
        <v>3429.41</v>
      </c>
    </row>
    <row r="1331" spans="1:3" x14ac:dyDescent="0.2">
      <c r="A1331" s="1" t="s">
        <v>100</v>
      </c>
      <c r="B1331" s="1" t="s">
        <v>13</v>
      </c>
      <c r="C1331" s="3">
        <v>148.28</v>
      </c>
    </row>
    <row r="1332" spans="1:3" x14ac:dyDescent="0.2">
      <c r="A1332" s="1" t="s">
        <v>100</v>
      </c>
      <c r="B1332" s="1" t="s">
        <v>14</v>
      </c>
      <c r="C1332" s="3">
        <v>331.39</v>
      </c>
    </row>
    <row r="1333" spans="1:3" x14ac:dyDescent="0.2">
      <c r="A1333" s="1" t="s">
        <v>100</v>
      </c>
      <c r="B1333" s="1" t="s">
        <v>15</v>
      </c>
      <c r="C1333" s="3">
        <v>199.7</v>
      </c>
    </row>
    <row r="1334" spans="1:3" x14ac:dyDescent="0.2">
      <c r="A1334" s="1" t="s">
        <v>100</v>
      </c>
      <c r="B1334" s="1" t="s">
        <v>38</v>
      </c>
      <c r="C1334" s="3">
        <v>1390.99</v>
      </c>
    </row>
    <row r="1335" spans="1:3" x14ac:dyDescent="0.2">
      <c r="A1335" s="1" t="s">
        <v>100</v>
      </c>
      <c r="B1335" s="1" t="s">
        <v>16</v>
      </c>
      <c r="C1335" s="3">
        <v>2047.09</v>
      </c>
    </row>
    <row r="1336" spans="1:3" x14ac:dyDescent="0.2">
      <c r="A1336" s="1" t="s">
        <v>100</v>
      </c>
      <c r="B1336" s="1" t="s">
        <v>17</v>
      </c>
      <c r="C1336" s="3">
        <v>246.2</v>
      </c>
    </row>
    <row r="1337" spans="1:3" x14ac:dyDescent="0.2">
      <c r="A1337" s="1" t="s">
        <v>100</v>
      </c>
      <c r="B1337" s="1" t="s">
        <v>18</v>
      </c>
      <c r="C1337" s="3">
        <v>1206.3</v>
      </c>
    </row>
    <row r="1338" spans="1:3" x14ac:dyDescent="0.2">
      <c r="A1338" s="1" t="s">
        <v>100</v>
      </c>
      <c r="B1338" s="1" t="s">
        <v>19</v>
      </c>
      <c r="C1338" s="3">
        <v>4798.99</v>
      </c>
    </row>
    <row r="1339" spans="1:3" x14ac:dyDescent="0.2">
      <c r="A1339" s="1" t="s">
        <v>100</v>
      </c>
      <c r="B1339" s="1" t="s">
        <v>41</v>
      </c>
      <c r="C1339" s="3">
        <v>143.75</v>
      </c>
    </row>
    <row r="1340" spans="1:3" x14ac:dyDescent="0.2">
      <c r="A1340" s="1" t="s">
        <v>100</v>
      </c>
      <c r="B1340" s="1" t="s">
        <v>42</v>
      </c>
      <c r="C1340" s="3">
        <v>1016.98</v>
      </c>
    </row>
    <row r="1341" spans="1:3" x14ac:dyDescent="0.2">
      <c r="A1341" s="1" t="s">
        <v>100</v>
      </c>
      <c r="B1341" s="1" t="s">
        <v>43</v>
      </c>
      <c r="C1341" s="3">
        <v>599</v>
      </c>
    </row>
    <row r="1342" spans="1:3" x14ac:dyDescent="0.2">
      <c r="A1342" s="1" t="s">
        <v>100</v>
      </c>
      <c r="B1342" s="1" t="s">
        <v>44</v>
      </c>
      <c r="C1342" s="3">
        <v>79.900000000000006</v>
      </c>
    </row>
    <row r="1343" spans="1:3" x14ac:dyDescent="0.2">
      <c r="A1343" s="1" t="s">
        <v>100</v>
      </c>
      <c r="B1343" s="1" t="s">
        <v>20</v>
      </c>
      <c r="C1343" s="3">
        <v>1275.75</v>
      </c>
    </row>
    <row r="1344" spans="1:3" x14ac:dyDescent="0.2">
      <c r="A1344" s="1" t="s">
        <v>100</v>
      </c>
      <c r="B1344" s="1" t="s">
        <v>45</v>
      </c>
      <c r="C1344" s="3">
        <v>69</v>
      </c>
    </row>
    <row r="1345" spans="1:3" x14ac:dyDescent="0.2">
      <c r="A1345" s="1" t="s">
        <v>100</v>
      </c>
      <c r="B1345" s="1" t="s">
        <v>46</v>
      </c>
      <c r="C1345" s="3">
        <v>129</v>
      </c>
    </row>
    <row r="1346" spans="1:3" x14ac:dyDescent="0.2">
      <c r="A1346" s="1" t="s">
        <v>100</v>
      </c>
      <c r="B1346" s="1" t="s">
        <v>21</v>
      </c>
      <c r="C1346" s="3">
        <v>349.8</v>
      </c>
    </row>
    <row r="1347" spans="1:3" x14ac:dyDescent="0.2">
      <c r="A1347" s="1" t="s">
        <v>100</v>
      </c>
      <c r="B1347" s="1" t="s">
        <v>22</v>
      </c>
      <c r="C1347" s="3">
        <v>62.8</v>
      </c>
    </row>
    <row r="1348" spans="1:3" x14ac:dyDescent="0.2">
      <c r="A1348" s="1" t="s">
        <v>100</v>
      </c>
      <c r="B1348" s="1" t="s">
        <v>23</v>
      </c>
      <c r="C1348" s="3">
        <v>36.9</v>
      </c>
    </row>
    <row r="1349" spans="1:3" x14ac:dyDescent="0.2">
      <c r="A1349" s="1" t="s">
        <v>100</v>
      </c>
      <c r="B1349" s="1" t="s">
        <v>47</v>
      </c>
      <c r="C1349" s="3">
        <v>1226.54</v>
      </c>
    </row>
    <row r="1350" spans="1:3" x14ac:dyDescent="0.2">
      <c r="A1350" s="1" t="s">
        <v>100</v>
      </c>
      <c r="B1350" s="1" t="s">
        <v>24</v>
      </c>
      <c r="C1350" s="3">
        <v>1804.93</v>
      </c>
    </row>
    <row r="1351" spans="1:3" x14ac:dyDescent="0.2">
      <c r="A1351" s="1" t="s">
        <v>100</v>
      </c>
      <c r="B1351" s="1" t="s">
        <v>48</v>
      </c>
      <c r="C1351" s="3">
        <v>332.3</v>
      </c>
    </row>
    <row r="1352" spans="1:3" x14ac:dyDescent="0.2">
      <c r="A1352" s="1" t="s">
        <v>100</v>
      </c>
      <c r="B1352" s="1" t="s">
        <v>71</v>
      </c>
      <c r="C1352" s="3">
        <v>1999</v>
      </c>
    </row>
    <row r="1353" spans="1:3" x14ac:dyDescent="0.2">
      <c r="A1353" s="1" t="s">
        <v>100</v>
      </c>
      <c r="B1353" s="1" t="s">
        <v>26</v>
      </c>
      <c r="C1353" s="3">
        <v>5144.32</v>
      </c>
    </row>
    <row r="1354" spans="1:3" x14ac:dyDescent="0.2">
      <c r="A1354" s="1" t="s">
        <v>100</v>
      </c>
      <c r="B1354" s="1" t="s">
        <v>27</v>
      </c>
      <c r="C1354" s="3">
        <v>276.8</v>
      </c>
    </row>
    <row r="1355" spans="1:3" x14ac:dyDescent="0.2">
      <c r="A1355" s="1" t="s">
        <v>100</v>
      </c>
      <c r="B1355" s="1" t="s">
        <v>28</v>
      </c>
      <c r="C1355" s="3">
        <v>1268.1199999999999</v>
      </c>
    </row>
    <row r="1356" spans="1:3" x14ac:dyDescent="0.2">
      <c r="A1356" s="1" t="s">
        <v>100</v>
      </c>
      <c r="B1356" s="1" t="s">
        <v>29</v>
      </c>
      <c r="C1356" s="3">
        <v>1864.15</v>
      </c>
    </row>
    <row r="1357" spans="1:3" x14ac:dyDescent="0.2">
      <c r="A1357" s="1" t="s">
        <v>100</v>
      </c>
      <c r="B1357" s="1" t="s">
        <v>30</v>
      </c>
      <c r="C1357" s="3">
        <v>5446.89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A20E-2744-AA4F-8059-6DFC9D298A85}">
  <dimension ref="A1:N75"/>
  <sheetViews>
    <sheetView workbookViewId="0">
      <selection activeCell="E24" sqref="E24"/>
    </sheetView>
  </sheetViews>
  <sheetFormatPr baseColWidth="10" defaultRowHeight="16" x14ac:dyDescent="0.2"/>
  <cols>
    <col min="1" max="1" width="35.5" bestFit="1" customWidth="1"/>
    <col min="2" max="2" width="22" bestFit="1" customWidth="1"/>
    <col min="3" max="3" width="21" bestFit="1" customWidth="1"/>
    <col min="4" max="4" width="5.33203125" bestFit="1" customWidth="1"/>
    <col min="5" max="5" width="17.83203125" customWidth="1"/>
    <col min="6" max="6" width="15.6640625" customWidth="1"/>
    <col min="7" max="7" width="18.1640625" bestFit="1" customWidth="1"/>
    <col min="8" max="8" width="28.6640625" bestFit="1" customWidth="1"/>
    <col min="9" max="9" width="28.6640625" customWidth="1"/>
    <col min="10" max="98" width="5.33203125" bestFit="1" customWidth="1"/>
    <col min="99" max="534" width="6.33203125" bestFit="1" customWidth="1"/>
    <col min="535" max="1060" width="7.83203125" bestFit="1" customWidth="1"/>
    <col min="1061" max="1267" width="8.83203125" bestFit="1" customWidth="1"/>
    <col min="1268" max="1292" width="9.83203125" bestFit="1" customWidth="1"/>
    <col min="1293" max="1293" width="10.5" bestFit="1" customWidth="1"/>
  </cols>
  <sheetData>
    <row r="1" spans="1:14" ht="19" thickBot="1" x14ac:dyDescent="0.3">
      <c r="A1" s="9" t="s">
        <v>108</v>
      </c>
      <c r="B1" t="s">
        <v>103</v>
      </c>
    </row>
    <row r="2" spans="1:14" ht="17" thickTop="1" x14ac:dyDescent="0.2">
      <c r="B2" s="13" t="s">
        <v>111</v>
      </c>
    </row>
    <row r="3" spans="1:14" ht="19" thickBot="1" x14ac:dyDescent="0.3">
      <c r="A3" s="9" t="s">
        <v>110</v>
      </c>
      <c r="B3" s="10" t="s">
        <v>109</v>
      </c>
      <c r="E3" s="5" t="s">
        <v>104</v>
      </c>
      <c r="F3" s="5" t="s">
        <v>105</v>
      </c>
      <c r="G3" s="5" t="s">
        <v>106</v>
      </c>
      <c r="H3" s="5" t="s">
        <v>107</v>
      </c>
    </row>
    <row r="4" spans="1:14" ht="17" thickTop="1" x14ac:dyDescent="0.2">
      <c r="A4" s="11" t="s">
        <v>19</v>
      </c>
      <c r="B4" s="12">
        <v>1258681.3400000001</v>
      </c>
      <c r="E4" s="6">
        <f>IF(B1="(All)", SUM(state_summary[order_count]), _xlfn.XLOOKUP(B1,state_summary[customer_state],state_summary[order_count]))</f>
        <v>98666</v>
      </c>
      <c r="F4" s="7">
        <f>IF(B1="(All)", SUM(state_summary[total_revenue]),_xlfn.XLOOKUP(B1,state_summary[customer_state],state_summary[total_revenue]))</f>
        <v>13591643.700000001</v>
      </c>
      <c r="G4" s="7">
        <f>F4/E4</f>
        <v>137.75407637889447</v>
      </c>
      <c r="H4" s="8">
        <f>F4/SUM(state_summary[total_revenue])</f>
        <v>1</v>
      </c>
    </row>
    <row r="5" spans="1:14" x14ac:dyDescent="0.2">
      <c r="A5" s="11" t="s">
        <v>30</v>
      </c>
      <c r="B5" s="12">
        <v>1205005.68</v>
      </c>
    </row>
    <row r="6" spans="1:14" x14ac:dyDescent="0.2">
      <c r="A6" s="11" t="s">
        <v>6</v>
      </c>
      <c r="B6" s="12">
        <v>1036988.68</v>
      </c>
    </row>
    <row r="7" spans="1:14" ht="19" thickBot="1" x14ac:dyDescent="0.3">
      <c r="A7" s="11" t="s">
        <v>26</v>
      </c>
      <c r="B7" s="12">
        <v>988048.97</v>
      </c>
      <c r="E7" s="4" t="s">
        <v>112</v>
      </c>
    </row>
    <row r="8" spans="1:14" ht="17" thickTop="1" x14ac:dyDescent="0.2">
      <c r="A8" s="11" t="s">
        <v>10</v>
      </c>
      <c r="B8" s="12">
        <v>911954.32000000007</v>
      </c>
      <c r="E8" s="15" t="s">
        <v>114</v>
      </c>
      <c r="F8" s="15"/>
      <c r="G8" s="15"/>
      <c r="H8" s="15"/>
      <c r="I8" s="15"/>
      <c r="J8" s="15"/>
    </row>
    <row r="9" spans="1:14" x14ac:dyDescent="0.2">
      <c r="A9" s="11" t="s">
        <v>16</v>
      </c>
      <c r="B9" s="12">
        <v>729762.49</v>
      </c>
      <c r="E9" s="16" t="s">
        <v>113</v>
      </c>
      <c r="F9" s="16"/>
      <c r="G9" s="16"/>
      <c r="H9" s="16"/>
      <c r="I9" s="16"/>
      <c r="J9" s="16"/>
      <c r="K9" s="16"/>
      <c r="L9" s="16"/>
      <c r="M9" s="16"/>
      <c r="N9" s="16"/>
    </row>
    <row r="10" spans="1:14" ht="16" customHeight="1" x14ac:dyDescent="0.2">
      <c r="A10" s="11" t="s">
        <v>12</v>
      </c>
      <c r="B10" s="12">
        <v>635290.85</v>
      </c>
      <c r="E10" s="15" t="s">
        <v>115</v>
      </c>
      <c r="F10" s="15"/>
      <c r="G10" s="15"/>
      <c r="H10" s="15"/>
      <c r="I10" s="15"/>
      <c r="J10" s="15"/>
      <c r="K10" s="15"/>
      <c r="L10" s="15"/>
      <c r="M10" s="15"/>
      <c r="N10" s="15"/>
    </row>
    <row r="11" spans="1:14" x14ac:dyDescent="0.2">
      <c r="A11" s="11" t="s">
        <v>20</v>
      </c>
      <c r="B11" s="12">
        <v>632248.65999999992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x14ac:dyDescent="0.2">
      <c r="A12" s="11" t="s">
        <v>4</v>
      </c>
      <c r="B12" s="12">
        <v>592720.11</v>
      </c>
    </row>
    <row r="13" spans="1:14" x14ac:dyDescent="0.2">
      <c r="A13" s="11" t="s">
        <v>18</v>
      </c>
      <c r="B13" s="12">
        <v>485256.46000000008</v>
      </c>
    </row>
    <row r="14" spans="1:14" x14ac:dyDescent="0.2">
      <c r="A14" s="11" t="s">
        <v>29</v>
      </c>
      <c r="B14" s="12">
        <v>483946.6</v>
      </c>
      <c r="F14" s="14"/>
    </row>
    <row r="15" spans="1:14" x14ac:dyDescent="0.2">
      <c r="A15" s="11" t="s">
        <v>5</v>
      </c>
      <c r="B15" s="12">
        <v>411764.89</v>
      </c>
    </row>
    <row r="16" spans="1:14" x14ac:dyDescent="0.2">
      <c r="A16" s="11" t="s">
        <v>24</v>
      </c>
      <c r="B16" s="12">
        <v>399124.87000000005</v>
      </c>
    </row>
    <row r="17" spans="1:2" x14ac:dyDescent="0.2">
      <c r="A17" s="11" t="s">
        <v>28</v>
      </c>
      <c r="B17" s="12">
        <v>323667.53000000003</v>
      </c>
    </row>
    <row r="18" spans="1:2" x14ac:dyDescent="0.2">
      <c r="A18" s="11" t="s">
        <v>47</v>
      </c>
      <c r="B18" s="12">
        <v>273960.69999999995</v>
      </c>
    </row>
    <row r="19" spans="1:2" x14ac:dyDescent="0.2">
      <c r="A19" s="11" t="s">
        <v>27</v>
      </c>
      <c r="B19" s="12">
        <v>230943.22999999998</v>
      </c>
    </row>
    <row r="20" spans="1:2" x14ac:dyDescent="0.2">
      <c r="A20" s="11" t="s">
        <v>9</v>
      </c>
      <c r="B20" s="12">
        <v>222963.13</v>
      </c>
    </row>
    <row r="21" spans="1:2" x14ac:dyDescent="0.2">
      <c r="A21" s="11" t="s">
        <v>48</v>
      </c>
      <c r="B21" s="12">
        <v>214315.40999999997</v>
      </c>
    </row>
    <row r="22" spans="1:2" x14ac:dyDescent="0.2">
      <c r="A22" s="11" t="s">
        <v>23</v>
      </c>
      <c r="B22" s="12">
        <v>191498.88000000003</v>
      </c>
    </row>
    <row r="23" spans="1:2" x14ac:dyDescent="0.2">
      <c r="A23" s="11" t="s">
        <v>25</v>
      </c>
      <c r="B23" s="12">
        <v>190648.58000000002</v>
      </c>
    </row>
    <row r="24" spans="1:2" x14ac:dyDescent="0.2">
      <c r="A24" s="11" t="s">
        <v>13</v>
      </c>
      <c r="B24" s="12">
        <v>160246.74</v>
      </c>
    </row>
    <row r="25" spans="1:2" x14ac:dyDescent="0.2">
      <c r="A25" s="11" t="s">
        <v>11</v>
      </c>
      <c r="B25" s="12">
        <v>157465.22000000003</v>
      </c>
    </row>
    <row r="26" spans="1:2" x14ac:dyDescent="0.2">
      <c r="A26" s="11" t="s">
        <v>14</v>
      </c>
      <c r="B26" s="12">
        <v>152823.54000000004</v>
      </c>
    </row>
    <row r="27" spans="1:2" x14ac:dyDescent="0.2">
      <c r="A27" s="11" t="s">
        <v>35</v>
      </c>
      <c r="B27" s="12">
        <v>144677.59</v>
      </c>
    </row>
    <row r="28" spans="1:2" x14ac:dyDescent="0.2">
      <c r="A28" s="11" t="s">
        <v>21</v>
      </c>
      <c r="B28" s="12">
        <v>140429.97999999998</v>
      </c>
    </row>
    <row r="29" spans="1:2" x14ac:dyDescent="0.2">
      <c r="A29" s="11" t="s">
        <v>42</v>
      </c>
      <c r="B29" s="12">
        <v>113317.74</v>
      </c>
    </row>
    <row r="30" spans="1:2" x14ac:dyDescent="0.2">
      <c r="A30" s="11" t="s">
        <v>44</v>
      </c>
      <c r="B30" s="12">
        <v>83088.12</v>
      </c>
    </row>
    <row r="31" spans="1:2" x14ac:dyDescent="0.2">
      <c r="A31" s="11" t="s">
        <v>41</v>
      </c>
      <c r="B31" s="12">
        <v>80171.53</v>
      </c>
    </row>
    <row r="32" spans="1:2" x14ac:dyDescent="0.2">
      <c r="A32" s="11" t="s">
        <v>32</v>
      </c>
      <c r="B32" s="12">
        <v>72530.47</v>
      </c>
    </row>
    <row r="33" spans="1:2" x14ac:dyDescent="0.2">
      <c r="A33" s="11" t="s">
        <v>17</v>
      </c>
      <c r="B33" s="12">
        <v>68916.56</v>
      </c>
    </row>
    <row r="34" spans="1:2" x14ac:dyDescent="0.2">
      <c r="A34" s="11" t="s">
        <v>38</v>
      </c>
      <c r="B34" s="12">
        <v>59583</v>
      </c>
    </row>
    <row r="35" spans="1:2" x14ac:dyDescent="0.2">
      <c r="A35" s="11" t="s">
        <v>43</v>
      </c>
      <c r="B35" s="12">
        <v>58572.039999999994</v>
      </c>
    </row>
    <row r="36" spans="1:2" x14ac:dyDescent="0.2">
      <c r="A36" s="11" t="s">
        <v>33</v>
      </c>
      <c r="B36" s="12">
        <v>55024.959999999992</v>
      </c>
    </row>
    <row r="37" spans="1:2" x14ac:dyDescent="0.2">
      <c r="A37" s="11" t="s">
        <v>34</v>
      </c>
      <c r="B37" s="12">
        <v>50688.5</v>
      </c>
    </row>
    <row r="38" spans="1:2" x14ac:dyDescent="0.2">
      <c r="A38" s="11" t="s">
        <v>71</v>
      </c>
      <c r="B38" s="12">
        <v>47445.710000000006</v>
      </c>
    </row>
    <row r="39" spans="1:2" x14ac:dyDescent="0.2">
      <c r="A39" s="11" t="s">
        <v>7</v>
      </c>
      <c r="B39" s="12">
        <v>46856.880000000005</v>
      </c>
    </row>
    <row r="40" spans="1:2" x14ac:dyDescent="0.2">
      <c r="A40" s="11" t="s">
        <v>46</v>
      </c>
      <c r="B40" s="12">
        <v>46328.369999999995</v>
      </c>
    </row>
    <row r="41" spans="1:2" x14ac:dyDescent="0.2">
      <c r="A41" s="11" t="s">
        <v>59</v>
      </c>
      <c r="B41" s="12">
        <v>41080</v>
      </c>
    </row>
    <row r="42" spans="1:2" x14ac:dyDescent="0.2">
      <c r="A42" s="11" t="s">
        <v>60</v>
      </c>
      <c r="B42" s="12">
        <v>40544.520000000004</v>
      </c>
    </row>
    <row r="43" spans="1:2" x14ac:dyDescent="0.2">
      <c r="A43" s="11" t="s">
        <v>45</v>
      </c>
      <c r="B43" s="12">
        <v>39669.61</v>
      </c>
    </row>
    <row r="44" spans="1:2" x14ac:dyDescent="0.2">
      <c r="A44" s="11" t="s">
        <v>39</v>
      </c>
      <c r="B44" s="12">
        <v>29393.41</v>
      </c>
    </row>
    <row r="45" spans="1:2" x14ac:dyDescent="0.2">
      <c r="A45" s="11" t="s">
        <v>22</v>
      </c>
      <c r="B45" s="12">
        <v>28378.46999999999</v>
      </c>
    </row>
    <row r="46" spans="1:2" x14ac:dyDescent="0.2">
      <c r="A46" s="11" t="s">
        <v>51</v>
      </c>
      <c r="B46" s="12">
        <v>25715.89</v>
      </c>
    </row>
    <row r="47" spans="1:2" x14ac:dyDescent="0.2">
      <c r="A47" s="11" t="s">
        <v>50</v>
      </c>
      <c r="B47" s="12">
        <v>24202.639999999999</v>
      </c>
    </row>
    <row r="48" spans="1:2" x14ac:dyDescent="0.2">
      <c r="A48" s="11" t="s">
        <v>15</v>
      </c>
      <c r="B48" s="12">
        <v>23562.77</v>
      </c>
    </row>
    <row r="49" spans="1:2" x14ac:dyDescent="0.2">
      <c r="A49" s="11" t="s">
        <v>36</v>
      </c>
      <c r="B49" s="12">
        <v>22428.7</v>
      </c>
    </row>
    <row r="50" spans="1:2" x14ac:dyDescent="0.2">
      <c r="A50" s="11" t="s">
        <v>70</v>
      </c>
      <c r="B50" s="12">
        <v>21509.230000000003</v>
      </c>
    </row>
    <row r="51" spans="1:2" x14ac:dyDescent="0.2">
      <c r="A51" s="11" t="s">
        <v>68</v>
      </c>
      <c r="B51" s="12">
        <v>20028.78</v>
      </c>
    </row>
    <row r="52" spans="1:2" x14ac:dyDescent="0.2">
      <c r="A52" s="11" t="s">
        <v>57</v>
      </c>
      <c r="B52" s="12">
        <v>19096.059999999998</v>
      </c>
    </row>
    <row r="53" spans="1:2" x14ac:dyDescent="0.2">
      <c r="A53" s="11" t="s">
        <v>61</v>
      </c>
      <c r="B53" s="12">
        <v>15903.95</v>
      </c>
    </row>
    <row r="54" spans="1:2" x14ac:dyDescent="0.2">
      <c r="A54" s="11" t="s">
        <v>40</v>
      </c>
      <c r="B54" s="12">
        <v>15179.48</v>
      </c>
    </row>
    <row r="55" spans="1:2" x14ac:dyDescent="0.2">
      <c r="A55" s="11" t="s">
        <v>65</v>
      </c>
      <c r="B55" s="12">
        <v>10797.82</v>
      </c>
    </row>
    <row r="56" spans="1:2" x14ac:dyDescent="0.2">
      <c r="A56" s="11" t="s">
        <v>67</v>
      </c>
      <c r="B56" s="12">
        <v>9541.5499999999993</v>
      </c>
    </row>
    <row r="57" spans="1:2" x14ac:dyDescent="0.2">
      <c r="A57" s="11" t="s">
        <v>8</v>
      </c>
      <c r="B57" s="12">
        <v>8800.82</v>
      </c>
    </row>
    <row r="58" spans="1:2" x14ac:dyDescent="0.2">
      <c r="A58" s="11" t="s">
        <v>53</v>
      </c>
      <c r="B58" s="12">
        <v>7528.41</v>
      </c>
    </row>
    <row r="59" spans="1:2" x14ac:dyDescent="0.2">
      <c r="A59" s="11" t="s">
        <v>58</v>
      </c>
      <c r="B59" s="12">
        <v>6933.46</v>
      </c>
    </row>
    <row r="60" spans="1:2" x14ac:dyDescent="0.2">
      <c r="A60" s="11" t="s">
        <v>52</v>
      </c>
      <c r="B60" s="12">
        <v>6034.35</v>
      </c>
    </row>
    <row r="61" spans="1:2" x14ac:dyDescent="0.2">
      <c r="A61" s="11" t="s">
        <v>37</v>
      </c>
      <c r="B61" s="12">
        <v>5999.3899999999994</v>
      </c>
    </row>
    <row r="62" spans="1:2" x14ac:dyDescent="0.2">
      <c r="A62" s="11" t="s">
        <v>56</v>
      </c>
      <c r="B62" s="12">
        <v>4639.8499999999995</v>
      </c>
    </row>
    <row r="63" spans="1:2" x14ac:dyDescent="0.2">
      <c r="A63" s="11" t="s">
        <v>76</v>
      </c>
      <c r="B63" s="12">
        <v>4485.18</v>
      </c>
    </row>
    <row r="64" spans="1:2" x14ac:dyDescent="0.2">
      <c r="A64" s="11" t="s">
        <v>75</v>
      </c>
      <c r="B64" s="12">
        <v>4368.08</v>
      </c>
    </row>
    <row r="65" spans="1:2" x14ac:dyDescent="0.2">
      <c r="A65" s="11" t="s">
        <v>63</v>
      </c>
      <c r="B65" s="12">
        <v>2803.6400000000003</v>
      </c>
    </row>
    <row r="66" spans="1:2" x14ac:dyDescent="0.2">
      <c r="A66" s="11" t="s">
        <v>66</v>
      </c>
      <c r="B66" s="12">
        <v>2119.5100000000002</v>
      </c>
    </row>
    <row r="67" spans="1:2" x14ac:dyDescent="0.2">
      <c r="A67" s="11" t="s">
        <v>81</v>
      </c>
      <c r="B67" s="12">
        <v>2054.9899999999998</v>
      </c>
    </row>
    <row r="68" spans="1:2" x14ac:dyDescent="0.2">
      <c r="A68" s="11" t="s">
        <v>74</v>
      </c>
      <c r="B68" s="12">
        <v>1814.01</v>
      </c>
    </row>
    <row r="69" spans="1:2" x14ac:dyDescent="0.2">
      <c r="A69" s="11" t="s">
        <v>62</v>
      </c>
      <c r="B69" s="12">
        <v>1567.5900000000001</v>
      </c>
    </row>
    <row r="70" spans="1:2" x14ac:dyDescent="0.2">
      <c r="A70" s="11" t="s">
        <v>79</v>
      </c>
      <c r="B70" s="12">
        <v>1110.04</v>
      </c>
    </row>
    <row r="71" spans="1:2" x14ac:dyDescent="0.2">
      <c r="A71" s="11" t="s">
        <v>69</v>
      </c>
      <c r="B71" s="12">
        <v>760.27</v>
      </c>
    </row>
    <row r="72" spans="1:2" x14ac:dyDescent="0.2">
      <c r="A72" s="11" t="s">
        <v>83</v>
      </c>
      <c r="B72" s="12">
        <v>730</v>
      </c>
    </row>
    <row r="73" spans="1:2" x14ac:dyDescent="0.2">
      <c r="A73" s="11" t="s">
        <v>64</v>
      </c>
      <c r="B73" s="12">
        <v>569.85</v>
      </c>
    </row>
    <row r="74" spans="1:2" x14ac:dyDescent="0.2">
      <c r="A74" s="11" t="s">
        <v>77</v>
      </c>
      <c r="B74" s="12">
        <v>283.28999999999996</v>
      </c>
    </row>
    <row r="75" spans="1:2" x14ac:dyDescent="0.2">
      <c r="A75" s="11" t="s">
        <v>102</v>
      </c>
      <c r="B75" s="12">
        <v>13406593.940000007</v>
      </c>
    </row>
  </sheetData>
  <mergeCells count="1">
    <mergeCell ref="E9:N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7768-3732-4946-805E-5396D3F4F0C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8C50-4E08-D041-BB07-B1A3D0F9DE6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070F-E0D5-A746-9715-573BD47ABD7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9D43-B938-D14C-B036-EF025852758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5B07-86B2-7F4E-97D0-8326B7DB28C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79B4-A6C3-124A-96CB-3F02C2E5DFC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04AA-B34F-C940-8B75-3694228DCC5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9B9F-ADB9-D546-A9BA-561D7E6B29D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7ABE-6EF3-E84D-8BE4-B0A0B1325B3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F88F-22B3-DC49-B474-70D9FFE8B3D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3F58-8901-4C42-A3B7-BFB189ECB3A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848C-B465-B34E-941F-C85158F2864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8768-37E4-6B4E-B3CD-B004AFE47F3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BEC2-B34A-3B48-9C37-AB2833291AA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1DE2-B7C7-F042-88DD-B0726431D3F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684F-ACC1-E346-B1F5-17D6E4A3869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33EB-7B54-3949-8CA3-0CE4B187E23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E93FE6-088A-9949-8700-18DE70D615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Pivot Table Source</vt:lpstr>
      <vt:lpstr>Category, State, Revenue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Le</dc:creator>
  <cp:lastModifiedBy>Tammy Le</cp:lastModifiedBy>
  <dcterms:created xsi:type="dcterms:W3CDTF">2026-10-13T23:53:08Z</dcterms:created>
  <dcterms:modified xsi:type="dcterms:W3CDTF">2026-10-16T23:54:22Z</dcterms:modified>
</cp:coreProperties>
</file>